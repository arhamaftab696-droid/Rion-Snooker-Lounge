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2025" sheetId="1" r:id="rId5"/>
    <sheet state="visible" name="JUNE2025" sheetId="2" r:id="rId6"/>
    <sheet state="visible" name="July2025" sheetId="3" r:id="rId7"/>
    <sheet state="visible" name="August2025" sheetId="4" r:id="rId8"/>
    <sheet state="visible" name="September2025" sheetId="5" r:id="rId9"/>
    <sheet state="visible" name="October2025" sheetId="6" r:id="rId10"/>
    <sheet state="visible" name="November2025" sheetId="7" r:id="rId11"/>
    <sheet state="visible" name="December2025" sheetId="8" r:id="rId12"/>
    <sheet state="visible" name="Jaunary2026" sheetId="9" r:id="rId13"/>
    <sheet state="visible" name="February 2026" sheetId="10" r:id="rId14"/>
    <sheet state="visible" name="March 2026" sheetId="11" r:id="rId15"/>
    <sheet state="visible" name="April 2026" sheetId="12" r:id="rId16"/>
    <sheet state="visible" name="May 2026" sheetId="13" r:id="rId17"/>
    <sheet state="visible" name="June 2026" sheetId="14" r:id="rId18"/>
    <sheet state="visible" name="July 2026" sheetId="15" r:id="rId19"/>
  </sheets>
  <definedNames/>
  <calcPr/>
</workbook>
</file>

<file path=xl/sharedStrings.xml><?xml version="1.0" encoding="utf-8"?>
<sst xmlns="http://schemas.openxmlformats.org/spreadsheetml/2006/main" count="441" uniqueCount="179">
  <si>
    <t>Expense Detail Month of MAY-2025</t>
  </si>
  <si>
    <t>Expense Detail Month of JULY-2025</t>
  </si>
  <si>
    <t>Expense Detail Month of August-2025</t>
  </si>
  <si>
    <t>Expense Detail Month of JUNE-2025</t>
  </si>
  <si>
    <t>DATE</t>
  </si>
  <si>
    <t>CASH</t>
  </si>
  <si>
    <t>BANK</t>
  </si>
  <si>
    <t>TOTAL</t>
  </si>
  <si>
    <t>EXPENSE BANK</t>
  </si>
  <si>
    <t>REASON</t>
  </si>
  <si>
    <t>EXPENSE CASH</t>
  </si>
  <si>
    <t>DAILY EXPENSE</t>
  </si>
  <si>
    <t>Irfan send</t>
  </si>
  <si>
    <t>Canteen</t>
  </si>
  <si>
    <t>Salary</t>
  </si>
  <si>
    <t>CANTEEN</t>
  </si>
  <si>
    <t>Salaries</t>
  </si>
  <si>
    <t>ASAD SALARY</t>
  </si>
  <si>
    <t xml:space="preserve">Club accessories </t>
  </si>
  <si>
    <t>Murtaza salary</t>
  </si>
  <si>
    <t>IRFAN SALARY</t>
  </si>
  <si>
    <t>IRFAN ADVANCE</t>
  </si>
  <si>
    <t>Shoaib advance</t>
  </si>
  <si>
    <t>Irfan advance</t>
  </si>
  <si>
    <t>Murtaza advance</t>
  </si>
  <si>
    <t>Gym fee</t>
  </si>
  <si>
    <t>Sajid advance</t>
  </si>
  <si>
    <t xml:space="preserve">Club maintinance   </t>
  </si>
  <si>
    <t>Irfan</t>
  </si>
  <si>
    <t>Asad salary</t>
  </si>
  <si>
    <t>Shoaib father</t>
  </si>
  <si>
    <t>Bykea</t>
  </si>
  <si>
    <t>Police</t>
  </si>
  <si>
    <t>Sweets</t>
  </si>
  <si>
    <t>Salary nadir</t>
  </si>
  <si>
    <t>Ali ahmad salary</t>
  </si>
  <si>
    <t>Mosquitoes racket</t>
  </si>
  <si>
    <t>Awais salary</t>
  </si>
  <si>
    <t xml:space="preserve">Canteen </t>
  </si>
  <si>
    <t>House tax</t>
  </si>
  <si>
    <t>Meat</t>
  </si>
  <si>
    <t>Expense Detail Month of October-2025</t>
  </si>
  <si>
    <t>Sajid salary</t>
  </si>
  <si>
    <t xml:space="preserve">File and punch machine </t>
  </si>
  <si>
    <t>Expense Detail Month of November -2025</t>
  </si>
  <si>
    <t>Car payment</t>
  </si>
  <si>
    <t>Expense Detail Month of December -2025</t>
  </si>
  <si>
    <t>Internet package</t>
  </si>
  <si>
    <t>Shoaib</t>
  </si>
  <si>
    <t>Crockery</t>
  </si>
  <si>
    <t>Guard food</t>
  </si>
  <si>
    <t>Imran advance</t>
  </si>
  <si>
    <t xml:space="preserve">Transfer </t>
  </si>
  <si>
    <t>Hospital</t>
  </si>
  <si>
    <t xml:space="preserve">Oil change </t>
  </si>
  <si>
    <t>Petrol</t>
  </si>
  <si>
    <t>Car charge</t>
  </si>
  <si>
    <t>Haval payment</t>
  </si>
  <si>
    <t>Havel registration</t>
  </si>
  <si>
    <t>Rashid advance</t>
  </si>
  <si>
    <t>Umrah</t>
  </si>
  <si>
    <t>Transfer</t>
  </si>
  <si>
    <t>Brim &amp; DumX</t>
  </si>
  <si>
    <t>Loyality card</t>
  </si>
  <si>
    <t>Ali advance</t>
  </si>
  <si>
    <t>Car oil change</t>
  </si>
  <si>
    <t>Fish</t>
  </si>
  <si>
    <t xml:space="preserve">Internet package </t>
  </si>
  <si>
    <t xml:space="preserve">Snooker accessories </t>
  </si>
  <si>
    <t>Expense Detail Month of January -2026</t>
  </si>
  <si>
    <t>Expense Detail Month of February-2026</t>
  </si>
  <si>
    <t>Expense Detail Month of March-2026</t>
  </si>
  <si>
    <t>Expense Detail Month of April-2026</t>
  </si>
  <si>
    <t xml:space="preserve">Table maintenance </t>
  </si>
  <si>
    <t>Zahid advance</t>
  </si>
  <si>
    <t>Carpet</t>
  </si>
  <si>
    <t>Vaccum</t>
  </si>
  <si>
    <t xml:space="preserve">Accessories </t>
  </si>
  <si>
    <t>Shan ali</t>
  </si>
  <si>
    <t>Handwash</t>
  </si>
  <si>
    <t>60000 bank extra</t>
  </si>
  <si>
    <t>6700 food multan</t>
  </si>
  <si>
    <t>Asad advance</t>
  </si>
  <si>
    <t>Package</t>
  </si>
  <si>
    <t>Zahid salary</t>
  </si>
  <si>
    <t>Amjad salary</t>
  </si>
  <si>
    <t>Ikram salary</t>
  </si>
  <si>
    <t>Eidi</t>
  </si>
  <si>
    <t>Shan salary</t>
  </si>
  <si>
    <t>Amjad</t>
  </si>
  <si>
    <t>Expense Detail Month of May-2026</t>
  </si>
  <si>
    <t>Expense Detail Month of june-2026</t>
  </si>
  <si>
    <t>Handwash etc</t>
  </si>
  <si>
    <t xml:space="preserve">Shan ali </t>
  </si>
  <si>
    <t>Door</t>
  </si>
  <si>
    <t xml:space="preserve">Videographer </t>
  </si>
  <si>
    <t xml:space="preserve">Zahid </t>
  </si>
  <si>
    <t>Credit Done</t>
  </si>
  <si>
    <t>Ali salary</t>
  </si>
  <si>
    <t>Credit person</t>
  </si>
  <si>
    <t>Credit return</t>
  </si>
  <si>
    <t>Person</t>
  </si>
  <si>
    <t>Garmala</t>
  </si>
  <si>
    <t>Extras</t>
  </si>
  <si>
    <t>Reason</t>
  </si>
  <si>
    <t>Game</t>
  </si>
  <si>
    <t>Total recieved</t>
  </si>
  <si>
    <t>AC service</t>
  </si>
  <si>
    <t>Ali</t>
  </si>
  <si>
    <t>Nil</t>
  </si>
  <si>
    <t>Arham</t>
  </si>
  <si>
    <t>Olx</t>
  </si>
  <si>
    <t>Water cooler</t>
  </si>
  <si>
    <t>Muhammad</t>
  </si>
  <si>
    <t>Water</t>
  </si>
  <si>
    <t>Chatha&amp;jamshaid</t>
  </si>
  <si>
    <t>Shahzain salary</t>
  </si>
  <si>
    <t>Arham+aftab</t>
  </si>
  <si>
    <t>Lights</t>
  </si>
  <si>
    <t>Noor package</t>
  </si>
  <si>
    <t>Jamshaid advance</t>
  </si>
  <si>
    <t>Pera played</t>
  </si>
  <si>
    <t>Lalqila</t>
  </si>
  <si>
    <t>Araiz&amp;zuraiz</t>
  </si>
  <si>
    <t>Chaudhary</t>
  </si>
  <si>
    <t>Chattha+ali+fahad</t>
  </si>
  <si>
    <t>Fahad+yasir</t>
  </si>
  <si>
    <t>Jamshaid salary</t>
  </si>
  <si>
    <t>Light+pera</t>
  </si>
  <si>
    <t>Zain+malik ali</t>
  </si>
  <si>
    <t>Awais</t>
  </si>
  <si>
    <t>Jamshaid</t>
  </si>
  <si>
    <t>Obaidullah salary</t>
  </si>
  <si>
    <t>Fareed+asim+chaudhary</t>
  </si>
  <si>
    <t>Chattha+shani+malik</t>
  </si>
  <si>
    <t>Asad played</t>
  </si>
  <si>
    <t>Chaudhary ali</t>
  </si>
  <si>
    <t>Chatha</t>
  </si>
  <si>
    <t>Hamza+jamshaid</t>
  </si>
  <si>
    <t>Light issue+Asad</t>
  </si>
  <si>
    <t>Shery+zain+abdullah+bilal</t>
  </si>
  <si>
    <t>Chaudhary+faraz</t>
  </si>
  <si>
    <t>Asad+jamshaid</t>
  </si>
  <si>
    <t>Tanveer+chatha</t>
  </si>
  <si>
    <t>Jamshaid+light</t>
  </si>
  <si>
    <t>Ali+chatha+zain+jamshaid</t>
  </si>
  <si>
    <t>Arshad+adman+abdullah+jamshaid+ali</t>
  </si>
  <si>
    <t>Malik+chatha</t>
  </si>
  <si>
    <t>Sharif+ahmed+zain</t>
  </si>
  <si>
    <t>Asad+ pera played</t>
  </si>
  <si>
    <t>Naveed+asad+zain+adnan</t>
  </si>
  <si>
    <t>Sharif+obaidulah+adnan</t>
  </si>
  <si>
    <t>Malik+sharif+shazil</t>
  </si>
  <si>
    <t>Sheraz+abdulrehman+chatha</t>
  </si>
  <si>
    <t>Ubaid+bilal</t>
  </si>
  <si>
    <t xml:space="preserve">Abdulrehman </t>
  </si>
  <si>
    <t xml:space="preserve">Credit remaining </t>
  </si>
  <si>
    <t>Total cash</t>
  </si>
  <si>
    <t>Total bank</t>
  </si>
  <si>
    <t xml:space="preserve">Total expense </t>
  </si>
  <si>
    <t xml:space="preserve">Total game </t>
  </si>
  <si>
    <t>Total canteen</t>
  </si>
  <si>
    <t>Total Bill</t>
  </si>
  <si>
    <t>Total turnover</t>
  </si>
  <si>
    <t>Rope light</t>
  </si>
  <si>
    <t>Curtains</t>
  </si>
  <si>
    <t>Wall panels</t>
  </si>
  <si>
    <t>Smd light</t>
  </si>
  <si>
    <t>Wall light</t>
  </si>
  <si>
    <t>Mama package</t>
  </si>
  <si>
    <t>Nikkah decor</t>
  </si>
  <si>
    <t>Iron</t>
  </si>
  <si>
    <t>Shoes</t>
  </si>
  <si>
    <t>Cold drinks etc</t>
  </si>
  <si>
    <t>Yaris petrol</t>
  </si>
  <si>
    <t>Metro</t>
  </si>
  <si>
    <t>Dollar hub</t>
  </si>
  <si>
    <t>Cake</t>
  </si>
  <si>
    <t xml:space="preserve">Photographer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</si>
</sst>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b/>
      <sz val="12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76A5AF"/>
        <bgColor rgb="FF76A5AF"/>
      </patternFill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E06666"/>
        <bgColor rgb="FFE06666"/>
      </patternFill>
    </fill>
    <fill>
      <patternFill patternType="solid">
        <fgColor rgb="FFB7E1CD"/>
        <bgColor rgb="FFB7E1CD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readingOrder="0"/>
    </xf>
    <xf borderId="8" fillId="0" fontId="2" numFmtId="0" xfId="0" applyBorder="1" applyFont="1"/>
    <xf borderId="7" fillId="4" fontId="3" numFmtId="0" xfId="0" applyAlignment="1" applyBorder="1" applyFill="1" applyFont="1">
      <alignment horizontal="center" readingOrder="0"/>
    </xf>
    <xf borderId="7" fillId="0" fontId="4" numFmtId="164" xfId="0" applyAlignment="1" applyBorder="1" applyFont="1" applyNumberFormat="1">
      <alignment horizontal="center" readingOrder="0"/>
    </xf>
    <xf borderId="7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center"/>
    </xf>
    <xf borderId="7" fillId="0" fontId="4" numFmtId="0" xfId="0" applyBorder="1" applyFont="1"/>
    <xf borderId="0" fillId="0" fontId="4" numFmtId="0" xfId="0" applyFont="1"/>
    <xf borderId="0" fillId="0" fontId="4" numFmtId="0" xfId="0" applyAlignment="1" applyFont="1">
      <alignment horizontal="center"/>
    </xf>
    <xf borderId="7" fillId="5" fontId="4" numFmtId="0" xfId="0" applyBorder="1" applyFill="1" applyFont="1"/>
    <xf borderId="7" fillId="5" fontId="4" numFmtId="0" xfId="0" applyAlignment="1" applyBorder="1" applyFill="1" applyFont="1">
      <alignment horizontal="center"/>
    </xf>
    <xf borderId="7" fillId="6" fontId="4" numFmtId="0" xfId="0" applyAlignment="1" applyBorder="1" applyFill="1" applyFont="1">
      <alignment horizontal="center" readingOrder="0"/>
    </xf>
    <xf borderId="7" fillId="5" fontId="4" numFmtId="0" xfId="0" applyAlignment="1" applyBorder="1" applyFill="1" applyFont="1">
      <alignment readingOrder="0"/>
    </xf>
    <xf borderId="7" fillId="7" fontId="4" numFmtId="0" xfId="0" applyAlignment="1" applyBorder="1" applyFill="1" applyFont="1">
      <alignment readingOrder="0"/>
    </xf>
    <xf borderId="7" fillId="7" fontId="4" numFmtId="0" xfId="0" applyAlignment="1" applyBorder="1" applyFill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7" fillId="3" fontId="6" numFmtId="0" xfId="0" applyAlignment="1" applyBorder="1" applyFill="1" applyFont="1">
      <alignment horizontal="center" vertical="bottom"/>
    </xf>
    <xf borderId="7" fillId="8" fontId="7" numFmtId="164" xfId="0" applyAlignment="1" applyBorder="1" applyFill="1" applyFont="1" applyNumberFormat="1">
      <alignment horizontal="center" readingOrder="0" vertical="bottom"/>
    </xf>
    <xf borderId="7" fillId="0" fontId="7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7" fillId="9" fontId="7" numFmtId="164" xfId="0" applyAlignment="1" applyBorder="1" applyFill="1" applyFont="1" applyNumberFormat="1">
      <alignment horizontal="center" readingOrder="0" vertical="bottom"/>
    </xf>
    <xf borderId="7" fillId="9" fontId="7" numFmtId="0" xfId="0" applyAlignment="1" applyBorder="1" applyFill="1" applyFont="1">
      <alignment horizontal="center" readingOrder="0" vertical="bottom"/>
    </xf>
    <xf borderId="9" fillId="0" fontId="7" numFmtId="0" xfId="0" applyAlignment="1" applyBorder="1" applyFont="1">
      <alignment horizontal="center" readingOrder="0" vertical="bottom"/>
    </xf>
    <xf borderId="7" fillId="9" fontId="7" numFmtId="0" xfId="0" applyAlignment="1" applyBorder="1" applyFill="1" applyFont="1">
      <alignment horizontal="center" vertical="bottom"/>
    </xf>
    <xf borderId="10" fillId="0" fontId="2" numFmtId="0" xfId="0" applyBorder="1" applyFont="1"/>
    <xf borderId="7" fillId="9" fontId="4" numFmtId="0" xfId="0" applyAlignment="1" applyBorder="1" applyFill="1" applyFont="1">
      <alignment horizontal="center" readingOrder="0"/>
    </xf>
    <xf borderId="7" fillId="9" fontId="4" numFmtId="0" xfId="0" applyAlignment="1" applyBorder="1" applyFill="1" applyFont="1">
      <alignment horizontal="center"/>
    </xf>
    <xf borderId="7" fillId="3" fontId="6" numFmtId="0" xfId="0" applyAlignment="1" applyBorder="1" applyFill="1" applyFont="1">
      <alignment horizontal="center" readingOrder="0" vertical="bottom"/>
    </xf>
    <xf borderId="7" fillId="3" fontId="8" numFmtId="0" xfId="0" applyAlignment="1" applyBorder="1" applyFill="1" applyFont="1">
      <alignment horizontal="center" readingOrder="0"/>
    </xf>
    <xf borderId="7" fillId="9" fontId="7" numFmtId="0" xfId="0" applyAlignment="1" applyBorder="1" applyFill="1" applyFont="1">
      <alignment vertical="bottom"/>
    </xf>
    <xf borderId="7" fillId="10" fontId="9" numFmtId="0" xfId="0" applyAlignment="1" applyBorder="1" applyFill="1" applyFont="1">
      <alignment readingOrder="0"/>
    </xf>
    <xf borderId="7" fillId="11" fontId="4" numFmtId="0" xfId="0" applyAlignment="1" applyBorder="1" applyFill="1" applyFont="1">
      <alignment readingOrder="0"/>
    </xf>
    <xf borderId="7" fillId="11" fontId="4" numFmtId="0" xfId="0" applyBorder="1" applyFill="1" applyFont="1"/>
    <xf borderId="7" fillId="7" fontId="4" numFmtId="0" xfId="0" applyBorder="1" applyFill="1" applyFont="1"/>
    <xf borderId="0" fillId="0" fontId="9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25"/>
    <col customWidth="1" min="6" max="7" width="16.63"/>
    <col customWidth="1" min="8" max="8" width="16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3"/>
    </row>
    <row r="3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</row>
    <row r="4">
      <c r="A4" s="10">
        <v>45778.0</v>
      </c>
      <c r="B4" s="11">
        <v>19870.0</v>
      </c>
      <c r="C4" s="11">
        <v>26400.0</v>
      </c>
      <c r="D4" s="13">
        <f t="shared" ref="D4:D34" si="1">B4+C4</f>
        <v>46270</v>
      </c>
      <c r="E4" s="13"/>
      <c r="F4" s="13"/>
      <c r="G4" s="13"/>
      <c r="H4" s="11">
        <v>4150.0</v>
      </c>
    </row>
    <row r="5">
      <c r="A5" s="10">
        <v>45779.0</v>
      </c>
      <c r="B5" s="11">
        <v>21910.0</v>
      </c>
      <c r="C5" s="11">
        <v>18640.0</v>
      </c>
      <c r="D5" s="13">
        <f t="shared" si="1"/>
        <v>40550</v>
      </c>
      <c r="E5" s="11">
        <v>98000.0</v>
      </c>
      <c r="F5" s="11" t="s">
        <v>15</v>
      </c>
      <c r="G5" s="13"/>
      <c r="H5" s="11">
        <v>2730.0</v>
      </c>
    </row>
    <row r="6">
      <c r="A6" s="10">
        <v>45780.0</v>
      </c>
      <c r="B6" s="11">
        <v>20020.0</v>
      </c>
      <c r="C6" s="11">
        <v>19440.0</v>
      </c>
      <c r="D6" s="13">
        <f t="shared" si="1"/>
        <v>39460</v>
      </c>
      <c r="E6" s="11">
        <v>37000.0</v>
      </c>
      <c r="F6" s="11" t="s">
        <v>17</v>
      </c>
      <c r="G6" s="13"/>
      <c r="H6" s="11">
        <v>3800.0</v>
      </c>
      <c r="I6" s="16"/>
    </row>
    <row r="7">
      <c r="A7" s="10">
        <v>45781.0</v>
      </c>
      <c r="B7" s="11">
        <v>21600.0</v>
      </c>
      <c r="C7" s="11">
        <v>23040.0</v>
      </c>
      <c r="D7" s="13">
        <f t="shared" si="1"/>
        <v>44640</v>
      </c>
      <c r="E7" s="11">
        <v>18000.0</v>
      </c>
      <c r="F7" s="11" t="s">
        <v>20</v>
      </c>
      <c r="G7" s="13"/>
      <c r="H7" s="11">
        <v>2600.0</v>
      </c>
    </row>
    <row r="8">
      <c r="A8" s="10">
        <v>45782.0</v>
      </c>
      <c r="B8" s="11">
        <v>19650.0</v>
      </c>
      <c r="C8" s="11">
        <v>16270.0</v>
      </c>
      <c r="D8" s="13">
        <f t="shared" si="1"/>
        <v>35920</v>
      </c>
      <c r="E8" s="13"/>
      <c r="F8" s="13"/>
      <c r="G8" s="13"/>
      <c r="H8" s="11">
        <v>2300.0</v>
      </c>
    </row>
    <row r="9">
      <c r="A9" s="10">
        <v>45783.0</v>
      </c>
      <c r="B9" s="11">
        <v>10700.0</v>
      </c>
      <c r="C9" s="11">
        <v>26220.0</v>
      </c>
      <c r="D9" s="13">
        <f t="shared" si="1"/>
        <v>36920</v>
      </c>
      <c r="E9" s="11"/>
      <c r="F9" s="11" t="s">
        <v>21</v>
      </c>
      <c r="G9" s="11">
        <v>10000.0</v>
      </c>
      <c r="H9" s="11">
        <v>2400.0</v>
      </c>
    </row>
    <row r="10">
      <c r="A10" s="10">
        <v>45784.0</v>
      </c>
      <c r="B10" s="11">
        <v>19000.0</v>
      </c>
      <c r="C10" s="11">
        <v>20440.0</v>
      </c>
      <c r="D10" s="13">
        <f t="shared" si="1"/>
        <v>39440</v>
      </c>
      <c r="E10" s="13"/>
      <c r="F10" s="13"/>
      <c r="G10" s="13"/>
      <c r="H10" s="11">
        <v>2350.0</v>
      </c>
    </row>
    <row r="11">
      <c r="A11" s="10">
        <v>45785.0</v>
      </c>
      <c r="B11" s="11">
        <v>21750.0</v>
      </c>
      <c r="C11" s="11">
        <v>16209.0</v>
      </c>
      <c r="D11" s="13">
        <f t="shared" si="1"/>
        <v>37959</v>
      </c>
      <c r="E11" s="13"/>
      <c r="F11" s="13"/>
      <c r="G11" s="13"/>
      <c r="H11" s="11">
        <v>2600.0</v>
      </c>
    </row>
    <row r="12">
      <c r="A12" s="10">
        <v>45786.0</v>
      </c>
      <c r="B12" s="11">
        <v>35800.0</v>
      </c>
      <c r="C12" s="11">
        <v>17550.0</v>
      </c>
      <c r="D12" s="13">
        <f t="shared" si="1"/>
        <v>53350</v>
      </c>
      <c r="E12" s="13"/>
      <c r="F12" s="13"/>
      <c r="G12" s="13"/>
      <c r="H12" s="11">
        <v>2890.0</v>
      </c>
    </row>
    <row r="13">
      <c r="A13" s="10">
        <v>45787.0</v>
      </c>
      <c r="B13" s="11">
        <v>14300.0</v>
      </c>
      <c r="C13" s="19">
        <v>28875.0</v>
      </c>
      <c r="D13" s="13">
        <f t="shared" si="1"/>
        <v>43175</v>
      </c>
      <c r="E13" s="11">
        <v>16113.0</v>
      </c>
      <c r="F13" s="11" t="s">
        <v>15</v>
      </c>
      <c r="G13" s="13"/>
      <c r="H13" s="11">
        <v>3800.0</v>
      </c>
    </row>
    <row r="14">
      <c r="A14" s="10">
        <v>45788.0</v>
      </c>
      <c r="B14" s="11">
        <v>17550.0</v>
      </c>
      <c r="C14" s="11">
        <v>16000.0</v>
      </c>
      <c r="D14" s="13">
        <f t="shared" si="1"/>
        <v>33550</v>
      </c>
      <c r="E14" s="11">
        <v>2000.0</v>
      </c>
      <c r="F14" s="11" t="s">
        <v>23</v>
      </c>
      <c r="G14" s="13"/>
      <c r="H14" s="11">
        <v>5988.0</v>
      </c>
    </row>
    <row r="15">
      <c r="A15" s="10">
        <v>45789.0</v>
      </c>
      <c r="B15" s="11">
        <v>23400.0</v>
      </c>
      <c r="C15" s="11">
        <v>20995.0</v>
      </c>
      <c r="D15" s="13">
        <f t="shared" si="1"/>
        <v>44395</v>
      </c>
      <c r="E15" s="11">
        <v>10000.0</v>
      </c>
      <c r="F15" s="11" t="s">
        <v>25</v>
      </c>
      <c r="G15" s="13"/>
      <c r="H15" s="11">
        <v>2350.0</v>
      </c>
    </row>
    <row r="16">
      <c r="A16" s="10">
        <v>45790.0</v>
      </c>
      <c r="B16" s="11">
        <v>19900.0</v>
      </c>
      <c r="C16" s="11">
        <v>15350.0</v>
      </c>
      <c r="D16" s="13">
        <f t="shared" si="1"/>
        <v>35250</v>
      </c>
      <c r="E16" s="11">
        <v>17990.0</v>
      </c>
      <c r="F16" s="11" t="s">
        <v>13</v>
      </c>
      <c r="G16" s="13"/>
      <c r="H16" s="11">
        <v>4150.0</v>
      </c>
    </row>
    <row r="17">
      <c r="A17" s="10">
        <v>45791.0</v>
      </c>
      <c r="B17" s="11">
        <v>16350.0</v>
      </c>
      <c r="C17" s="11">
        <v>20210.0</v>
      </c>
      <c r="D17" s="13">
        <f t="shared" si="1"/>
        <v>36560</v>
      </c>
      <c r="E17" s="13"/>
      <c r="F17" s="13"/>
      <c r="G17" s="13"/>
      <c r="H17" s="11">
        <v>2490.0</v>
      </c>
    </row>
    <row r="18">
      <c r="A18" s="10">
        <v>45792.0</v>
      </c>
      <c r="B18" s="11">
        <v>19400.0</v>
      </c>
      <c r="C18" s="11">
        <v>15230.0</v>
      </c>
      <c r="D18" s="13">
        <f t="shared" si="1"/>
        <v>34630</v>
      </c>
      <c r="E18" s="13"/>
      <c r="F18" s="13"/>
      <c r="G18" s="13"/>
      <c r="H18" s="11">
        <v>2820.0</v>
      </c>
    </row>
    <row r="19">
      <c r="A19" s="10">
        <v>45793.0</v>
      </c>
      <c r="B19" s="11">
        <v>32200.0</v>
      </c>
      <c r="C19" s="11">
        <v>24450.0</v>
      </c>
      <c r="D19" s="13">
        <f t="shared" si="1"/>
        <v>56650</v>
      </c>
      <c r="E19" s="13"/>
      <c r="F19" s="11" t="s">
        <v>22</v>
      </c>
      <c r="G19" s="11">
        <v>10000.0</v>
      </c>
      <c r="H19" s="11">
        <v>2350.0</v>
      </c>
    </row>
    <row r="20">
      <c r="A20" s="10">
        <v>45794.0</v>
      </c>
      <c r="B20" s="11">
        <v>30900.0</v>
      </c>
      <c r="C20" s="11">
        <v>16880.0</v>
      </c>
      <c r="D20" s="13">
        <f t="shared" si="1"/>
        <v>47780</v>
      </c>
      <c r="E20" s="13"/>
      <c r="F20" s="13"/>
      <c r="G20" s="13"/>
      <c r="H20" s="11">
        <v>4200.0</v>
      </c>
    </row>
    <row r="21">
      <c r="A21" s="10">
        <v>45795.0</v>
      </c>
      <c r="B21" s="11">
        <v>23500.0</v>
      </c>
      <c r="C21" s="11">
        <v>16925.0</v>
      </c>
      <c r="D21" s="13">
        <f t="shared" si="1"/>
        <v>40425</v>
      </c>
      <c r="E21" s="13"/>
      <c r="F21" s="13"/>
      <c r="G21" s="13"/>
      <c r="H21" s="11">
        <v>2650.0</v>
      </c>
    </row>
    <row r="22">
      <c r="A22" s="10">
        <v>45796.0</v>
      </c>
      <c r="B22" s="11">
        <v>28000.0</v>
      </c>
      <c r="C22" s="11">
        <v>13865.0</v>
      </c>
      <c r="D22" s="13">
        <f t="shared" si="1"/>
        <v>41865</v>
      </c>
      <c r="E22" s="11">
        <v>275000.0</v>
      </c>
      <c r="F22" s="11" t="s">
        <v>27</v>
      </c>
      <c r="G22" s="13"/>
      <c r="H22" s="11">
        <v>2750.0</v>
      </c>
    </row>
    <row r="23">
      <c r="A23" s="10">
        <v>45797.0</v>
      </c>
      <c r="B23" s="11">
        <v>27300.0</v>
      </c>
      <c r="C23" s="11">
        <v>15395.0</v>
      </c>
      <c r="D23" s="13">
        <f t="shared" si="1"/>
        <v>42695</v>
      </c>
      <c r="E23" s="13"/>
      <c r="F23" s="13"/>
      <c r="G23" s="13"/>
      <c r="H23" s="11">
        <v>3550.0</v>
      </c>
    </row>
    <row r="24">
      <c r="A24" s="10">
        <v>45798.0</v>
      </c>
      <c r="B24" s="11">
        <v>24500.0</v>
      </c>
      <c r="C24" s="11">
        <v>24800.0</v>
      </c>
      <c r="D24" s="13">
        <f t="shared" si="1"/>
        <v>49300</v>
      </c>
      <c r="E24" s="11">
        <v>50100.0</v>
      </c>
      <c r="F24" s="11" t="s">
        <v>13</v>
      </c>
      <c r="G24" s="13"/>
      <c r="H24" s="11">
        <v>2650.0</v>
      </c>
    </row>
    <row r="25">
      <c r="A25" s="10">
        <v>45799.0</v>
      </c>
      <c r="B25" s="11">
        <v>15850.0</v>
      </c>
      <c r="C25" s="11">
        <v>20735.0</v>
      </c>
      <c r="D25" s="13">
        <f t="shared" si="1"/>
        <v>36585</v>
      </c>
      <c r="E25" s="13"/>
      <c r="F25" s="13"/>
      <c r="G25" s="13"/>
      <c r="H25" s="11">
        <v>2350.0</v>
      </c>
    </row>
    <row r="26">
      <c r="A26" s="10">
        <v>45800.0</v>
      </c>
      <c r="B26" s="11">
        <v>18450.0</v>
      </c>
      <c r="C26" s="11">
        <v>23040.0</v>
      </c>
      <c r="D26" s="13">
        <f t="shared" si="1"/>
        <v>41490</v>
      </c>
      <c r="E26" s="13"/>
      <c r="F26" s="11" t="s">
        <v>28</v>
      </c>
      <c r="G26" s="11">
        <v>1000.0</v>
      </c>
      <c r="H26" s="11">
        <v>7960.0</v>
      </c>
    </row>
    <row r="27">
      <c r="A27" s="10">
        <v>45801.0</v>
      </c>
      <c r="B27" s="11">
        <v>15300.0</v>
      </c>
      <c r="C27" s="11">
        <v>15245.0</v>
      </c>
      <c r="D27" s="13">
        <f t="shared" si="1"/>
        <v>30545</v>
      </c>
      <c r="E27" s="13"/>
      <c r="F27" s="13"/>
      <c r="G27" s="13"/>
      <c r="H27" s="11">
        <v>2350.0</v>
      </c>
    </row>
    <row r="28">
      <c r="A28" s="10">
        <v>45802.0</v>
      </c>
      <c r="B28" s="11">
        <v>32500.0</v>
      </c>
      <c r="C28" s="11">
        <v>25135.0</v>
      </c>
      <c r="D28" s="13">
        <f t="shared" si="1"/>
        <v>57635</v>
      </c>
      <c r="E28" s="11">
        <v>69007.0</v>
      </c>
      <c r="F28" s="11" t="s">
        <v>13</v>
      </c>
      <c r="G28" s="13"/>
      <c r="H28" s="11">
        <v>2750.0</v>
      </c>
    </row>
    <row r="29">
      <c r="A29" s="10">
        <v>45803.0</v>
      </c>
      <c r="B29" s="11">
        <v>22700.0</v>
      </c>
      <c r="C29" s="11">
        <v>16710.0</v>
      </c>
      <c r="D29" s="13">
        <f t="shared" si="1"/>
        <v>39410</v>
      </c>
      <c r="E29" s="13"/>
      <c r="F29" s="13"/>
      <c r="G29" s="13"/>
      <c r="H29" s="11">
        <v>2250.0</v>
      </c>
    </row>
    <row r="30">
      <c r="A30" s="10">
        <v>45804.0</v>
      </c>
      <c r="B30" s="11">
        <v>16450.0</v>
      </c>
      <c r="C30" s="11">
        <v>25436.0</v>
      </c>
      <c r="D30" s="13">
        <f t="shared" si="1"/>
        <v>41886</v>
      </c>
      <c r="E30" s="13"/>
      <c r="F30" s="11" t="s">
        <v>31</v>
      </c>
      <c r="G30" s="11">
        <v>600.0</v>
      </c>
      <c r="H30" s="11">
        <v>3600.0</v>
      </c>
    </row>
    <row r="31">
      <c r="A31" s="10">
        <v>45805.0</v>
      </c>
      <c r="B31" s="11">
        <v>19000.0</v>
      </c>
      <c r="C31" s="11">
        <v>24855.0</v>
      </c>
      <c r="D31" s="13">
        <f t="shared" si="1"/>
        <v>43855</v>
      </c>
      <c r="E31" s="13"/>
      <c r="F31" s="11" t="s">
        <v>32</v>
      </c>
      <c r="G31" s="11">
        <v>1000.0</v>
      </c>
      <c r="H31" s="11">
        <v>2450.0</v>
      </c>
    </row>
    <row r="32">
      <c r="A32" s="10">
        <v>45806.0</v>
      </c>
      <c r="B32" s="11">
        <v>7250.0</v>
      </c>
      <c r="C32" s="11">
        <v>32685.0</v>
      </c>
      <c r="D32" s="13">
        <f t="shared" si="1"/>
        <v>39935</v>
      </c>
      <c r="E32" s="13"/>
      <c r="F32" s="13"/>
      <c r="G32" s="13"/>
      <c r="H32" s="11">
        <v>3100.0</v>
      </c>
    </row>
    <row r="33">
      <c r="A33" s="10">
        <v>45807.0</v>
      </c>
      <c r="B33" s="11">
        <v>16200.0</v>
      </c>
      <c r="C33" s="11">
        <v>20710.0</v>
      </c>
      <c r="D33" s="13">
        <f t="shared" si="1"/>
        <v>36910</v>
      </c>
      <c r="E33" s="13"/>
      <c r="F33" s="13"/>
      <c r="G33" s="13"/>
      <c r="H33" s="11">
        <v>4600.0</v>
      </c>
    </row>
    <row r="34">
      <c r="A34" s="10">
        <v>45808.0</v>
      </c>
      <c r="B34" s="11">
        <v>8900.0</v>
      </c>
      <c r="C34" s="11">
        <v>18959.0</v>
      </c>
      <c r="D34" s="13">
        <f t="shared" si="1"/>
        <v>27859</v>
      </c>
      <c r="E34" s="11">
        <v>80000.0</v>
      </c>
      <c r="F34" s="11" t="s">
        <v>14</v>
      </c>
      <c r="G34" s="13"/>
      <c r="H34" s="11">
        <v>5100.0</v>
      </c>
    </row>
    <row r="35">
      <c r="A35" s="13"/>
      <c r="B35" s="13">
        <f t="shared" ref="B35:H35" si="2">SUM(B4:B34)</f>
        <v>640200</v>
      </c>
      <c r="C35" s="13">
        <f t="shared" si="2"/>
        <v>636694</v>
      </c>
      <c r="D35" s="13">
        <f t="shared" si="2"/>
        <v>1276894</v>
      </c>
      <c r="E35" s="13">
        <f t="shared" si="2"/>
        <v>673210</v>
      </c>
      <c r="F35" s="13">
        <f t="shared" si="2"/>
        <v>0</v>
      </c>
      <c r="G35" s="13">
        <f t="shared" si="2"/>
        <v>22600</v>
      </c>
      <c r="H35" s="13">
        <f t="shared" si="2"/>
        <v>102078</v>
      </c>
      <c r="I35" s="15">
        <f>D35+H35+G35</f>
        <v>1401572</v>
      </c>
    </row>
    <row r="36">
      <c r="F36" s="15">
        <f>E35+G35</f>
        <v>695810</v>
      </c>
    </row>
  </sheetData>
  <mergeCells count="1">
    <mergeCell ref="A1:H2"/>
  </mergeCells>
  <conditionalFormatting sqref="A4:A34">
    <cfRule type="notContainsBlanks" dxfId="0" priority="1">
      <formula>LEN(TRIM(A4))&gt;0</formula>
    </cfRule>
  </conditionalFormatting>
  <conditionalFormatting sqref="C13">
    <cfRule type="notContainsBlanks" dxfId="0" priority="2">
      <formula>LEN(TRIM(C13))&gt;0</formula>
    </cfRule>
  </conditionalFormatting>
  <conditionalFormatting sqref="A4:A101">
    <cfRule type="expression" dxfId="0" priority="3">
      <formula>AND(ISNUMBER(A4),TRUNC(A4)&gt;TODAY())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5.38"/>
    <col customWidth="1" min="5" max="5" width="16.75"/>
    <col customWidth="1" min="6" max="6" width="15.38"/>
    <col customWidth="1" min="7" max="7" width="16.63"/>
    <col customWidth="1" min="8" max="26" width="15.38"/>
  </cols>
  <sheetData>
    <row r="1">
      <c r="A1" s="1" t="s">
        <v>3</v>
      </c>
      <c r="B1" s="2"/>
      <c r="C1" s="2"/>
      <c r="D1" s="2"/>
      <c r="E1" s="2"/>
      <c r="F1" s="2"/>
      <c r="G1" s="2"/>
      <c r="H1" s="4"/>
    </row>
    <row r="2">
      <c r="A2" s="5"/>
      <c r="B2" s="6"/>
      <c r="C2" s="6"/>
      <c r="D2" s="6"/>
      <c r="E2" s="6"/>
      <c r="F2" s="6"/>
      <c r="G2" s="6"/>
      <c r="H2" s="8"/>
    </row>
    <row r="3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</row>
    <row r="4">
      <c r="A4" s="10">
        <v>45809.0</v>
      </c>
      <c r="B4" s="12">
        <v>35550.0</v>
      </c>
      <c r="C4" s="12">
        <v>29385.0</v>
      </c>
      <c r="D4" s="13">
        <f t="shared" ref="D4:D34" si="1">B4+C4</f>
        <v>64935</v>
      </c>
      <c r="E4" s="12">
        <v>18000.0</v>
      </c>
      <c r="F4" s="12" t="s">
        <v>12</v>
      </c>
      <c r="G4" s="12"/>
      <c r="H4" s="12">
        <v>2500.0</v>
      </c>
    </row>
    <row r="5">
      <c r="A5" s="10">
        <v>45810.0</v>
      </c>
      <c r="B5" s="12">
        <v>37500.0</v>
      </c>
      <c r="C5" s="12">
        <v>1485.0</v>
      </c>
      <c r="D5" s="13">
        <f t="shared" si="1"/>
        <v>38985</v>
      </c>
      <c r="E5" s="14"/>
      <c r="F5" s="12" t="s">
        <v>16</v>
      </c>
      <c r="G5" s="12">
        <v>129000.0</v>
      </c>
      <c r="H5" s="12">
        <v>2250.0</v>
      </c>
    </row>
    <row r="6">
      <c r="A6" s="10">
        <v>45811.0</v>
      </c>
      <c r="B6" s="12">
        <v>19250.0</v>
      </c>
      <c r="C6" s="12">
        <v>15108.0</v>
      </c>
      <c r="D6" s="13">
        <f t="shared" si="1"/>
        <v>34358</v>
      </c>
      <c r="E6" s="12">
        <v>34041.0</v>
      </c>
      <c r="F6" s="12" t="s">
        <v>13</v>
      </c>
      <c r="G6" s="14"/>
      <c r="H6" s="12">
        <v>2500.0</v>
      </c>
    </row>
    <row r="7">
      <c r="A7" s="10">
        <v>45812.0</v>
      </c>
      <c r="B7" s="12">
        <v>24000.0</v>
      </c>
      <c r="C7" s="12">
        <v>14050.0</v>
      </c>
      <c r="D7" s="13">
        <f t="shared" si="1"/>
        <v>38050</v>
      </c>
      <c r="E7" s="12">
        <v>32000.0</v>
      </c>
      <c r="F7" s="12" t="s">
        <v>18</v>
      </c>
      <c r="G7" s="14"/>
      <c r="H7" s="12">
        <v>2485.0</v>
      </c>
    </row>
    <row r="8">
      <c r="A8" s="10">
        <v>45813.0</v>
      </c>
      <c r="B8" s="12">
        <v>16000.0</v>
      </c>
      <c r="C8" s="12">
        <v>18785.0</v>
      </c>
      <c r="D8" s="13">
        <f t="shared" si="1"/>
        <v>34785</v>
      </c>
      <c r="E8" s="12">
        <v>11508.0</v>
      </c>
      <c r="F8" s="12" t="s">
        <v>13</v>
      </c>
      <c r="G8" s="14"/>
      <c r="H8" s="12">
        <v>3750.0</v>
      </c>
    </row>
    <row r="9">
      <c r="A9" s="10">
        <v>45814.0</v>
      </c>
      <c r="B9" s="12">
        <v>18600.0</v>
      </c>
      <c r="C9" s="12">
        <v>22620.0</v>
      </c>
      <c r="D9" s="13">
        <f t="shared" si="1"/>
        <v>41220</v>
      </c>
      <c r="E9" s="14"/>
      <c r="F9" s="14"/>
      <c r="G9" s="14"/>
      <c r="H9" s="12">
        <v>2650.0</v>
      </c>
    </row>
    <row r="10">
      <c r="A10" s="10">
        <v>45815.0</v>
      </c>
      <c r="B10" s="12">
        <v>21000.0</v>
      </c>
      <c r="C10" s="12">
        <v>14910.0</v>
      </c>
      <c r="D10" s="13">
        <f t="shared" si="1"/>
        <v>35910</v>
      </c>
      <c r="E10" s="14"/>
      <c r="F10" s="14"/>
      <c r="G10" s="14"/>
      <c r="H10" s="12">
        <v>2000.0</v>
      </c>
    </row>
    <row r="11">
      <c r="A11" s="10">
        <v>45816.0</v>
      </c>
      <c r="B11" s="12">
        <v>17600.0</v>
      </c>
      <c r="C11" s="12">
        <v>7890.0</v>
      </c>
      <c r="D11" s="13">
        <f t="shared" si="1"/>
        <v>25490</v>
      </c>
      <c r="E11" s="14"/>
      <c r="F11" s="14"/>
      <c r="G11" s="14"/>
      <c r="H11" s="12">
        <v>650.0</v>
      </c>
    </row>
    <row r="12">
      <c r="A12" s="10">
        <v>45817.0</v>
      </c>
      <c r="B12" s="12">
        <v>31400.0</v>
      </c>
      <c r="C12" s="12">
        <v>16930.0</v>
      </c>
      <c r="D12" s="13">
        <f t="shared" si="1"/>
        <v>48330</v>
      </c>
      <c r="E12" s="12">
        <v>10000.0</v>
      </c>
      <c r="F12" s="12" t="s">
        <v>22</v>
      </c>
      <c r="G12" s="14"/>
      <c r="H12" s="12">
        <v>2080.0</v>
      </c>
    </row>
    <row r="13">
      <c r="A13" s="10">
        <v>45818.0</v>
      </c>
      <c r="B13" s="12">
        <v>31000.0</v>
      </c>
      <c r="C13" s="12">
        <v>17420.0</v>
      </c>
      <c r="D13" s="13">
        <f t="shared" si="1"/>
        <v>48420</v>
      </c>
      <c r="E13" s="14"/>
      <c r="F13" s="14"/>
      <c r="G13" s="14"/>
      <c r="H13" s="12">
        <v>2000.0</v>
      </c>
    </row>
    <row r="14">
      <c r="A14" s="10">
        <v>45819.0</v>
      </c>
      <c r="B14" s="12">
        <v>20165.0</v>
      </c>
      <c r="C14" s="12">
        <v>18165.0</v>
      </c>
      <c r="D14" s="13">
        <f t="shared" si="1"/>
        <v>38330</v>
      </c>
      <c r="E14" s="14"/>
      <c r="F14" s="14"/>
      <c r="G14" s="14"/>
      <c r="H14" s="12">
        <v>2300.0</v>
      </c>
    </row>
    <row r="15">
      <c r="A15" s="10">
        <v>45820.0</v>
      </c>
      <c r="B15" s="12">
        <v>32200.0</v>
      </c>
      <c r="C15" s="12">
        <v>23695.0</v>
      </c>
      <c r="D15" s="13">
        <f t="shared" si="1"/>
        <v>55895</v>
      </c>
      <c r="E15" s="14"/>
      <c r="F15" s="14"/>
      <c r="G15" s="14"/>
      <c r="H15" s="12">
        <v>3300.0</v>
      </c>
    </row>
    <row r="16">
      <c r="A16" s="10">
        <v>45821.0</v>
      </c>
      <c r="B16" s="12">
        <v>15400.0</v>
      </c>
      <c r="C16" s="12">
        <v>30850.0</v>
      </c>
      <c r="D16" s="13">
        <f t="shared" si="1"/>
        <v>46250</v>
      </c>
      <c r="E16" s="14"/>
      <c r="F16" s="14"/>
      <c r="G16" s="14"/>
      <c r="H16" s="12">
        <v>2000.0</v>
      </c>
    </row>
    <row r="17">
      <c r="A17" s="10">
        <v>45822.0</v>
      </c>
      <c r="B17" s="12">
        <v>24350.0</v>
      </c>
      <c r="C17" s="12">
        <v>21613.0</v>
      </c>
      <c r="D17" s="13">
        <f t="shared" si="1"/>
        <v>45963</v>
      </c>
      <c r="E17" s="14"/>
      <c r="F17" s="14"/>
      <c r="G17" s="14"/>
      <c r="H17" s="12">
        <v>2300.0</v>
      </c>
    </row>
    <row r="18">
      <c r="A18" s="10">
        <v>45823.0</v>
      </c>
      <c r="B18" s="12">
        <v>22550.0</v>
      </c>
      <c r="C18" s="12">
        <v>22172.0</v>
      </c>
      <c r="D18" s="13">
        <f t="shared" si="1"/>
        <v>44722</v>
      </c>
      <c r="E18" s="14"/>
      <c r="F18" s="14"/>
      <c r="G18" s="14"/>
      <c r="H18" s="12">
        <v>3885.0</v>
      </c>
    </row>
    <row r="19">
      <c r="A19" s="10">
        <v>45824.0</v>
      </c>
      <c r="B19" s="12">
        <v>18000.0</v>
      </c>
      <c r="C19" s="12">
        <v>16120.0</v>
      </c>
      <c r="D19" s="13">
        <f t="shared" si="1"/>
        <v>34120</v>
      </c>
      <c r="E19" s="12">
        <v>56482.0</v>
      </c>
      <c r="F19" s="12" t="s">
        <v>13</v>
      </c>
      <c r="G19" s="14"/>
      <c r="H19" s="12">
        <v>2400.0</v>
      </c>
    </row>
    <row r="20">
      <c r="A20" s="10">
        <v>45825.0</v>
      </c>
      <c r="B20" s="12">
        <v>16450.0</v>
      </c>
      <c r="C20" s="12">
        <v>18100.0</v>
      </c>
      <c r="D20" s="13">
        <f t="shared" si="1"/>
        <v>34550</v>
      </c>
      <c r="E20" s="12">
        <v>144843.0</v>
      </c>
      <c r="F20" s="12" t="s">
        <v>13</v>
      </c>
      <c r="G20" s="14"/>
      <c r="H20" s="12">
        <v>2950.0</v>
      </c>
    </row>
    <row r="21">
      <c r="A21" s="10">
        <v>45826.0</v>
      </c>
      <c r="B21" s="12">
        <v>19350.0</v>
      </c>
      <c r="C21" s="12">
        <v>30960.0</v>
      </c>
      <c r="D21" s="13">
        <f t="shared" si="1"/>
        <v>50310</v>
      </c>
      <c r="E21" s="14"/>
      <c r="F21" s="14"/>
      <c r="G21" s="14"/>
      <c r="H21" s="12">
        <v>2450.0</v>
      </c>
    </row>
    <row r="22">
      <c r="A22" s="10">
        <v>45827.0</v>
      </c>
      <c r="B22" s="12">
        <v>17100.0</v>
      </c>
      <c r="C22" s="12">
        <v>18250.0</v>
      </c>
      <c r="D22" s="13">
        <f t="shared" si="1"/>
        <v>35350</v>
      </c>
      <c r="E22" s="12">
        <v>3146.0</v>
      </c>
      <c r="F22" s="12" t="s">
        <v>13</v>
      </c>
      <c r="G22" s="14"/>
      <c r="H22" s="12">
        <v>3720.0</v>
      </c>
    </row>
    <row r="23">
      <c r="A23" s="10">
        <v>45828.0</v>
      </c>
      <c r="B23" s="12">
        <v>19800.0</v>
      </c>
      <c r="C23" s="12">
        <v>19090.0</v>
      </c>
      <c r="D23" s="13">
        <f t="shared" si="1"/>
        <v>38890</v>
      </c>
      <c r="E23" s="14"/>
      <c r="F23" s="14"/>
      <c r="G23" s="14"/>
      <c r="H23" s="12">
        <v>2500.0</v>
      </c>
    </row>
    <row r="24">
      <c r="A24" s="10">
        <v>45829.0</v>
      </c>
      <c r="B24" s="12">
        <v>15650.0</v>
      </c>
      <c r="C24" s="12">
        <v>19490.0</v>
      </c>
      <c r="D24" s="13">
        <f t="shared" si="1"/>
        <v>35140</v>
      </c>
      <c r="E24" s="14"/>
      <c r="F24" s="14"/>
      <c r="G24" s="14"/>
      <c r="H24" s="12">
        <v>2450.0</v>
      </c>
    </row>
    <row r="25">
      <c r="A25" s="10">
        <v>45830.0</v>
      </c>
      <c r="B25" s="12">
        <v>21770.0</v>
      </c>
      <c r="C25" s="12">
        <v>12300.0</v>
      </c>
      <c r="D25" s="13">
        <f t="shared" si="1"/>
        <v>34070</v>
      </c>
      <c r="E25" s="14"/>
      <c r="F25" s="14"/>
      <c r="G25" s="14"/>
      <c r="H25" s="12">
        <v>3800.0</v>
      </c>
    </row>
    <row r="26">
      <c r="A26" s="10">
        <v>45831.0</v>
      </c>
      <c r="B26" s="12">
        <v>26750.0</v>
      </c>
      <c r="C26" s="12">
        <v>17321.0</v>
      </c>
      <c r="D26" s="13">
        <f t="shared" si="1"/>
        <v>44071</v>
      </c>
      <c r="E26" s="14"/>
      <c r="F26" s="14"/>
      <c r="G26" s="14"/>
      <c r="H26" s="12">
        <v>3030.0</v>
      </c>
      <c r="I26" s="16"/>
    </row>
    <row r="27">
      <c r="A27" s="10">
        <v>45832.0</v>
      </c>
      <c r="B27" s="12">
        <v>19300.0</v>
      </c>
      <c r="C27" s="12">
        <v>20877.0</v>
      </c>
      <c r="D27" s="13">
        <f t="shared" si="1"/>
        <v>40177</v>
      </c>
      <c r="E27" s="14"/>
      <c r="F27" s="14"/>
      <c r="G27" s="14"/>
      <c r="H27" s="12">
        <v>2800.0</v>
      </c>
    </row>
    <row r="28">
      <c r="A28" s="10">
        <v>45833.0</v>
      </c>
      <c r="B28" s="12">
        <v>19400.0</v>
      </c>
      <c r="C28" s="12">
        <v>15410.0</v>
      </c>
      <c r="D28" s="13">
        <f t="shared" si="1"/>
        <v>34810</v>
      </c>
      <c r="E28" s="14"/>
      <c r="F28" s="14"/>
      <c r="G28" s="14"/>
      <c r="H28" s="12">
        <v>2450.0</v>
      </c>
    </row>
    <row r="29">
      <c r="A29" s="10">
        <v>45834.0</v>
      </c>
      <c r="B29" s="12">
        <v>27350.0</v>
      </c>
      <c r="C29" s="12">
        <v>21550.0</v>
      </c>
      <c r="D29" s="13">
        <f t="shared" si="1"/>
        <v>48900</v>
      </c>
      <c r="E29" s="14"/>
      <c r="F29" s="14"/>
      <c r="G29" s="14"/>
      <c r="H29" s="12">
        <v>3680.0</v>
      </c>
    </row>
    <row r="30">
      <c r="A30" s="10">
        <v>45835.0</v>
      </c>
      <c r="B30" s="12">
        <v>22000.0</v>
      </c>
      <c r="C30" s="12">
        <v>17185.0</v>
      </c>
      <c r="D30" s="13">
        <f t="shared" si="1"/>
        <v>39185</v>
      </c>
      <c r="E30" s="14"/>
      <c r="F30" s="14"/>
      <c r="G30" s="14"/>
      <c r="H30" s="12">
        <v>2500.0</v>
      </c>
    </row>
    <row r="31">
      <c r="A31" s="10">
        <v>45836.0</v>
      </c>
      <c r="B31" s="12">
        <v>24970.0</v>
      </c>
      <c r="C31" s="12">
        <v>20820.0</v>
      </c>
      <c r="D31" s="13">
        <f t="shared" si="1"/>
        <v>45790</v>
      </c>
      <c r="E31" s="12">
        <v>47329.0</v>
      </c>
      <c r="F31" s="12" t="s">
        <v>13</v>
      </c>
      <c r="G31" s="14"/>
      <c r="H31" s="12">
        <v>2800.0</v>
      </c>
    </row>
    <row r="32">
      <c r="A32" s="10">
        <v>45837.0</v>
      </c>
      <c r="B32" s="12">
        <v>20500.0</v>
      </c>
      <c r="C32" s="12">
        <v>20830.0</v>
      </c>
      <c r="D32" s="13">
        <f t="shared" si="1"/>
        <v>41330</v>
      </c>
      <c r="E32" s="14"/>
      <c r="F32" s="14"/>
      <c r="G32" s="14"/>
      <c r="H32" s="12">
        <v>4050.0</v>
      </c>
    </row>
    <row r="33">
      <c r="A33" s="10">
        <v>45838.0</v>
      </c>
      <c r="B33" s="12">
        <v>26900.0</v>
      </c>
      <c r="C33" s="12">
        <v>23600.0</v>
      </c>
      <c r="D33" s="13">
        <f t="shared" si="1"/>
        <v>50500</v>
      </c>
      <c r="E33" s="14"/>
      <c r="F33" s="12" t="s">
        <v>22</v>
      </c>
      <c r="G33" s="12">
        <v>5000.0</v>
      </c>
      <c r="H33" s="12">
        <v>2700.0</v>
      </c>
    </row>
    <row r="34">
      <c r="A34" s="13"/>
      <c r="B34" s="13">
        <f t="shared" ref="B34:C34" si="2">SUM(B3:B33)</f>
        <v>681855</v>
      </c>
      <c r="C34" s="13">
        <f t="shared" si="2"/>
        <v>566981</v>
      </c>
      <c r="D34" s="13">
        <f t="shared" si="1"/>
        <v>1248836</v>
      </c>
      <c r="E34" s="13">
        <f t="shared" ref="E34:H34" si="3">SUM(E3:E33)</f>
        <v>357349</v>
      </c>
      <c r="F34" s="13">
        <f t="shared" si="3"/>
        <v>0</v>
      </c>
      <c r="G34" s="13">
        <f t="shared" si="3"/>
        <v>134000</v>
      </c>
      <c r="H34" s="13">
        <f t="shared" si="3"/>
        <v>80930</v>
      </c>
      <c r="I34" s="15">
        <f>D34+H34</f>
        <v>1329766</v>
      </c>
    </row>
    <row r="35">
      <c r="F35" s="15">
        <f>E34+G34</f>
        <v>491349</v>
      </c>
    </row>
    <row r="38">
      <c r="B38" s="23">
        <v>17500.0</v>
      </c>
      <c r="C38" s="23">
        <v>24730.0</v>
      </c>
      <c r="H38" s="23">
        <v>2700.0</v>
      </c>
    </row>
    <row r="39">
      <c r="B39" s="23">
        <v>23000.0</v>
      </c>
      <c r="C39" s="23">
        <v>15450.0</v>
      </c>
      <c r="H39" s="23">
        <v>2800.0</v>
      </c>
    </row>
    <row r="40">
      <c r="B40" s="23">
        <v>20300.0</v>
      </c>
      <c r="C40" s="23">
        <v>25100.0</v>
      </c>
      <c r="H40" s="23">
        <v>4950.0</v>
      </c>
    </row>
    <row r="41">
      <c r="B41" s="23">
        <v>26700.0</v>
      </c>
      <c r="C41" s="23">
        <v>25998.0</v>
      </c>
      <c r="H41" s="23">
        <v>2830.0</v>
      </c>
    </row>
    <row r="42">
      <c r="C42" s="23">
        <v>20110.0</v>
      </c>
    </row>
    <row r="44">
      <c r="C44" s="23"/>
    </row>
    <row r="45">
      <c r="C45" s="23">
        <v>18367.0</v>
      </c>
      <c r="E45" s="23">
        <v>338735.0</v>
      </c>
    </row>
    <row r="46">
      <c r="C46" s="23">
        <v>18367.0</v>
      </c>
    </row>
    <row r="47">
      <c r="C47" s="23">
        <v>18367.0</v>
      </c>
    </row>
    <row r="48">
      <c r="C48" s="23">
        <v>18367.0</v>
      </c>
    </row>
    <row r="49">
      <c r="C49" s="23">
        <v>18367.0</v>
      </c>
    </row>
    <row r="52">
      <c r="D52" s="23">
        <v>45202.0</v>
      </c>
    </row>
    <row r="56">
      <c r="D56" s="23">
        <v>128570.0</v>
      </c>
    </row>
    <row r="59">
      <c r="D59" s="23">
        <v>21428.0</v>
      </c>
    </row>
  </sheetData>
  <mergeCells count="1">
    <mergeCell ref="A1:H2"/>
  </mergeCells>
  <conditionalFormatting sqref="A4:A34">
    <cfRule type="notContainsBlanks" dxfId="0" priority="1">
      <formula>LEN(TRIM(A4))&gt;0</formula>
    </cfRule>
  </conditionalFormatting>
  <conditionalFormatting sqref="A4:A35">
    <cfRule type="expression" dxfId="0" priority="2">
      <formula>AND(ISNUMBER(A4),TRUNC(A4)&gt;TODAY())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13"/>
    <col customWidth="1" min="7" max="7" width="16.25"/>
    <col customWidth="1" min="8" max="8" width="18.0"/>
  </cols>
  <sheetData>
    <row r="1">
      <c r="A1" s="1" t="s">
        <v>1</v>
      </c>
      <c r="B1" s="2"/>
      <c r="C1" s="2"/>
      <c r="D1" s="2"/>
      <c r="E1" s="2"/>
      <c r="F1" s="2"/>
      <c r="G1" s="2"/>
      <c r="H1" s="4"/>
    </row>
    <row r="2">
      <c r="A2" s="5"/>
      <c r="B2" s="6"/>
      <c r="C2" s="6"/>
      <c r="D2" s="6"/>
      <c r="E2" s="6"/>
      <c r="F2" s="6"/>
      <c r="G2" s="6"/>
      <c r="H2" s="8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</row>
    <row r="4">
      <c r="A4" s="10">
        <v>45839.0</v>
      </c>
      <c r="B4" s="12">
        <v>17500.0</v>
      </c>
      <c r="C4" s="12">
        <v>22730.0</v>
      </c>
      <c r="D4" s="13">
        <f t="shared" ref="D4:D35" si="1">B4+C4</f>
        <v>40230</v>
      </c>
      <c r="E4" s="11"/>
      <c r="F4" s="11" t="s">
        <v>14</v>
      </c>
      <c r="G4" s="12">
        <v>120000.0</v>
      </c>
      <c r="H4" s="12">
        <v>2700.0</v>
      </c>
      <c r="I4" s="15">
        <f t="shared" ref="I4:I35" si="2">D4+H4</f>
        <v>42930</v>
      </c>
    </row>
    <row r="5">
      <c r="A5" s="10">
        <v>45840.0</v>
      </c>
      <c r="B5" s="12">
        <v>23000.0</v>
      </c>
      <c r="C5" s="12">
        <v>15450.0</v>
      </c>
      <c r="D5" s="13">
        <f t="shared" si="1"/>
        <v>38450</v>
      </c>
      <c r="E5" s="11">
        <v>20000.0</v>
      </c>
      <c r="F5" s="11" t="s">
        <v>14</v>
      </c>
      <c r="G5" s="12"/>
      <c r="H5" s="12">
        <v>2800.0</v>
      </c>
      <c r="I5" s="15">
        <f t="shared" si="2"/>
        <v>41250</v>
      </c>
    </row>
    <row r="6">
      <c r="A6" s="10">
        <v>45841.0</v>
      </c>
      <c r="B6" s="12">
        <v>20300.0</v>
      </c>
      <c r="C6" s="12">
        <v>23100.0</v>
      </c>
      <c r="D6" s="13">
        <f t="shared" si="1"/>
        <v>43400</v>
      </c>
      <c r="E6" s="11"/>
      <c r="F6" s="11"/>
      <c r="G6" s="14"/>
      <c r="H6" s="12">
        <v>2150.0</v>
      </c>
      <c r="I6" s="15">
        <f t="shared" si="2"/>
        <v>45550</v>
      </c>
    </row>
    <row r="7">
      <c r="A7" s="10">
        <v>45842.0</v>
      </c>
      <c r="B7" s="12">
        <v>26700.0</v>
      </c>
      <c r="C7" s="12">
        <v>23998.0</v>
      </c>
      <c r="D7" s="13">
        <f t="shared" si="1"/>
        <v>50698</v>
      </c>
      <c r="E7" s="11"/>
      <c r="F7" s="11"/>
      <c r="G7" s="14"/>
      <c r="H7" s="12">
        <v>1900.0</v>
      </c>
      <c r="I7" s="15">
        <f t="shared" si="2"/>
        <v>52598</v>
      </c>
    </row>
    <row r="8">
      <c r="A8" s="10">
        <v>45843.0</v>
      </c>
      <c r="B8" s="12">
        <v>24500.0</v>
      </c>
      <c r="C8" s="12">
        <v>18110.0</v>
      </c>
      <c r="D8" s="13">
        <f t="shared" si="1"/>
        <v>42610</v>
      </c>
      <c r="E8" s="11"/>
      <c r="F8" s="11"/>
      <c r="G8" s="14"/>
      <c r="H8" s="12">
        <v>1900.0</v>
      </c>
      <c r="I8" s="15">
        <f t="shared" si="2"/>
        <v>44510</v>
      </c>
    </row>
    <row r="9">
      <c r="A9" s="10">
        <v>45844.0</v>
      </c>
      <c r="B9" s="17"/>
      <c r="C9" s="17"/>
      <c r="D9" s="18">
        <f t="shared" si="1"/>
        <v>0</v>
      </c>
      <c r="E9" s="18"/>
      <c r="F9" s="18"/>
      <c r="G9" s="17"/>
      <c r="H9" s="20"/>
      <c r="I9" s="15">
        <f t="shared" si="2"/>
        <v>0</v>
      </c>
    </row>
    <row r="10">
      <c r="A10" s="10">
        <v>45845.0</v>
      </c>
      <c r="B10" s="17"/>
      <c r="C10" s="20"/>
      <c r="D10" s="18">
        <f t="shared" si="1"/>
        <v>0</v>
      </c>
      <c r="E10" s="18"/>
      <c r="F10" s="18"/>
      <c r="G10" s="17"/>
      <c r="H10" s="20"/>
      <c r="I10" s="15">
        <f t="shared" si="2"/>
        <v>0</v>
      </c>
    </row>
    <row r="11">
      <c r="A11" s="10">
        <v>45846.0</v>
      </c>
      <c r="B11" s="21">
        <v>19400.0</v>
      </c>
      <c r="C11" s="21">
        <v>16367.0</v>
      </c>
      <c r="D11" s="22">
        <f t="shared" si="1"/>
        <v>35767</v>
      </c>
      <c r="E11" s="13"/>
      <c r="F11" s="13"/>
      <c r="G11" s="14"/>
      <c r="H11" s="12">
        <v>2700.0</v>
      </c>
      <c r="I11" s="15">
        <f t="shared" si="2"/>
        <v>38467</v>
      </c>
    </row>
    <row r="12">
      <c r="A12" s="10">
        <v>45847.0</v>
      </c>
      <c r="B12" s="21">
        <v>27700.0</v>
      </c>
      <c r="C12" s="21">
        <v>16367.0</v>
      </c>
      <c r="D12" s="22">
        <f t="shared" si="1"/>
        <v>44067</v>
      </c>
      <c r="E12" s="11"/>
      <c r="F12" s="11"/>
      <c r="G12" s="14"/>
      <c r="H12" s="12">
        <v>2700.0</v>
      </c>
      <c r="I12" s="15">
        <f t="shared" si="2"/>
        <v>46767</v>
      </c>
    </row>
    <row r="13">
      <c r="A13" s="10">
        <v>45848.0</v>
      </c>
      <c r="B13" s="21">
        <v>20600.0</v>
      </c>
      <c r="C13" s="21">
        <v>16367.0</v>
      </c>
      <c r="D13" s="22">
        <f t="shared" si="1"/>
        <v>36967</v>
      </c>
      <c r="E13" s="13"/>
      <c r="F13" s="13"/>
      <c r="G13" s="14"/>
      <c r="H13" s="12">
        <v>2700.0</v>
      </c>
      <c r="I13" s="15">
        <f t="shared" si="2"/>
        <v>39667</v>
      </c>
    </row>
    <row r="14">
      <c r="A14" s="10">
        <v>45849.0</v>
      </c>
      <c r="B14" s="21">
        <v>24950.0</v>
      </c>
      <c r="C14" s="21">
        <v>16367.0</v>
      </c>
      <c r="D14" s="22">
        <f t="shared" si="1"/>
        <v>41317</v>
      </c>
      <c r="E14" s="13"/>
      <c r="F14" s="13"/>
      <c r="G14" s="14"/>
      <c r="H14" s="12">
        <v>3700.0</v>
      </c>
      <c r="I14" s="15">
        <f t="shared" si="2"/>
        <v>45017</v>
      </c>
    </row>
    <row r="15">
      <c r="A15" s="10">
        <v>45850.0</v>
      </c>
      <c r="B15" s="21">
        <v>23100.0</v>
      </c>
      <c r="C15" s="21">
        <v>16367.0</v>
      </c>
      <c r="D15" s="22">
        <f t="shared" si="1"/>
        <v>39467</v>
      </c>
      <c r="E15" s="11">
        <v>41220.0</v>
      </c>
      <c r="F15" s="11" t="s">
        <v>13</v>
      </c>
      <c r="G15" s="14"/>
      <c r="H15" s="12">
        <v>2000.0</v>
      </c>
      <c r="I15" s="15">
        <f t="shared" si="2"/>
        <v>41467</v>
      </c>
    </row>
    <row r="16">
      <c r="A16" s="10">
        <v>45851.0</v>
      </c>
      <c r="B16" s="21">
        <v>20830.0</v>
      </c>
      <c r="C16" s="21">
        <v>16367.0</v>
      </c>
      <c r="D16" s="22">
        <f t="shared" si="1"/>
        <v>37197</v>
      </c>
      <c r="E16" s="13"/>
      <c r="F16" s="13"/>
      <c r="G16" s="14"/>
      <c r="H16" s="12">
        <v>2500.0</v>
      </c>
      <c r="I16" s="15">
        <f t="shared" si="2"/>
        <v>39697</v>
      </c>
    </row>
    <row r="17">
      <c r="A17" s="10">
        <v>45852.0</v>
      </c>
      <c r="B17" s="21">
        <v>24900.0</v>
      </c>
      <c r="C17" s="21">
        <v>16367.0</v>
      </c>
      <c r="D17" s="22">
        <f t="shared" si="1"/>
        <v>41267</v>
      </c>
      <c r="E17" s="13"/>
      <c r="F17" s="13"/>
      <c r="G17" s="14"/>
      <c r="H17" s="12">
        <v>2400.0</v>
      </c>
      <c r="I17" s="15">
        <f t="shared" si="2"/>
        <v>43667</v>
      </c>
    </row>
    <row r="18">
      <c r="A18" s="10">
        <v>45853.0</v>
      </c>
      <c r="B18" s="12">
        <v>24250.0</v>
      </c>
      <c r="C18" s="12">
        <v>17800.0</v>
      </c>
      <c r="D18" s="13">
        <f t="shared" si="1"/>
        <v>42050</v>
      </c>
      <c r="E18" s="13"/>
      <c r="F18" s="13"/>
      <c r="G18" s="14"/>
      <c r="H18" s="12">
        <v>1700.0</v>
      </c>
      <c r="I18" s="15">
        <f t="shared" si="2"/>
        <v>43750</v>
      </c>
    </row>
    <row r="19">
      <c r="A19" s="10">
        <v>45854.0</v>
      </c>
      <c r="B19" s="12">
        <v>20170.0</v>
      </c>
      <c r="C19" s="12">
        <v>19763.0</v>
      </c>
      <c r="D19" s="13">
        <f t="shared" si="1"/>
        <v>39933</v>
      </c>
      <c r="E19" s="11">
        <v>45930.0</v>
      </c>
      <c r="F19" s="11" t="s">
        <v>13</v>
      </c>
      <c r="G19" s="14"/>
      <c r="H19" s="12">
        <v>1800.0</v>
      </c>
      <c r="I19" s="15">
        <f t="shared" si="2"/>
        <v>41733</v>
      </c>
    </row>
    <row r="20">
      <c r="A20" s="10">
        <v>45855.0</v>
      </c>
      <c r="B20" s="12">
        <v>18920.0</v>
      </c>
      <c r="C20" s="12">
        <v>20880.0</v>
      </c>
      <c r="D20" s="13">
        <f t="shared" si="1"/>
        <v>39800</v>
      </c>
      <c r="E20" s="11">
        <v>74249.0</v>
      </c>
      <c r="F20" s="11" t="s">
        <v>13</v>
      </c>
      <c r="G20" s="14"/>
      <c r="H20" s="12">
        <v>4900.0</v>
      </c>
      <c r="I20" s="15">
        <f t="shared" si="2"/>
        <v>44700</v>
      </c>
    </row>
    <row r="21">
      <c r="A21" s="10">
        <v>45856.0</v>
      </c>
      <c r="B21" s="12">
        <v>25000.0</v>
      </c>
      <c r="C21" s="12">
        <v>34000.0</v>
      </c>
      <c r="D21" s="13">
        <f t="shared" si="1"/>
        <v>59000</v>
      </c>
      <c r="E21" s="13"/>
      <c r="F21" s="13"/>
      <c r="G21" s="14"/>
      <c r="H21" s="12">
        <v>1750.0</v>
      </c>
      <c r="I21" s="15">
        <f t="shared" si="2"/>
        <v>60750</v>
      </c>
    </row>
    <row r="22">
      <c r="A22" s="10">
        <v>45857.0</v>
      </c>
      <c r="B22" s="12">
        <v>25800.0</v>
      </c>
      <c r="C22" s="12">
        <v>22208.0</v>
      </c>
      <c r="D22" s="13">
        <f t="shared" si="1"/>
        <v>48008</v>
      </c>
      <c r="E22" s="11"/>
      <c r="F22" s="11"/>
      <c r="G22" s="14"/>
      <c r="H22" s="12">
        <v>2950.0</v>
      </c>
      <c r="I22" s="15">
        <f t="shared" si="2"/>
        <v>50958</v>
      </c>
    </row>
    <row r="23">
      <c r="A23" s="10">
        <v>45858.0</v>
      </c>
      <c r="B23" s="12">
        <v>32200.0</v>
      </c>
      <c r="C23" s="12">
        <v>29660.0</v>
      </c>
      <c r="D23" s="13">
        <f t="shared" si="1"/>
        <v>61860</v>
      </c>
      <c r="E23" s="13"/>
      <c r="F23" s="13"/>
      <c r="G23" s="14"/>
      <c r="H23" s="12">
        <v>2550.0</v>
      </c>
      <c r="I23" s="15">
        <f t="shared" si="2"/>
        <v>64410</v>
      </c>
    </row>
    <row r="24">
      <c r="A24" s="10">
        <v>45859.0</v>
      </c>
      <c r="B24" s="12">
        <v>25500.0</v>
      </c>
      <c r="C24" s="12">
        <v>15340.0</v>
      </c>
      <c r="D24" s="13">
        <f t="shared" si="1"/>
        <v>40840</v>
      </c>
      <c r="E24" s="11"/>
      <c r="F24" s="11" t="s">
        <v>33</v>
      </c>
      <c r="G24" s="12">
        <v>3000.0</v>
      </c>
      <c r="H24" s="12">
        <v>3850.0</v>
      </c>
      <c r="I24" s="15">
        <f t="shared" si="2"/>
        <v>44690</v>
      </c>
    </row>
    <row r="25">
      <c r="A25" s="10">
        <v>45860.0</v>
      </c>
      <c r="B25" s="12">
        <v>18350.0</v>
      </c>
      <c r="C25" s="12">
        <v>24710.0</v>
      </c>
      <c r="D25" s="13">
        <f t="shared" si="1"/>
        <v>43060</v>
      </c>
      <c r="E25" s="13"/>
      <c r="F25" s="11" t="s">
        <v>34</v>
      </c>
      <c r="G25" s="12">
        <v>3000.0</v>
      </c>
      <c r="H25" s="12">
        <v>4080.0</v>
      </c>
      <c r="I25" s="15">
        <f t="shared" si="2"/>
        <v>47140</v>
      </c>
    </row>
    <row r="26">
      <c r="A26" s="10">
        <v>45861.0</v>
      </c>
      <c r="B26" s="12">
        <v>25000.0</v>
      </c>
      <c r="C26" s="12">
        <v>28960.0</v>
      </c>
      <c r="D26" s="13">
        <f t="shared" si="1"/>
        <v>53960</v>
      </c>
      <c r="E26" s="11">
        <v>10000.0</v>
      </c>
      <c r="F26" s="11" t="s">
        <v>22</v>
      </c>
      <c r="G26" s="14"/>
      <c r="H26" s="12">
        <v>2750.0</v>
      </c>
      <c r="I26" s="15">
        <f t="shared" si="2"/>
        <v>56710</v>
      </c>
    </row>
    <row r="27">
      <c r="A27" s="10">
        <v>45862.0</v>
      </c>
      <c r="B27" s="12">
        <v>26700.0</v>
      </c>
      <c r="C27" s="12">
        <v>20325.0</v>
      </c>
      <c r="D27" s="13">
        <f t="shared" si="1"/>
        <v>47025</v>
      </c>
      <c r="E27" s="13"/>
      <c r="F27" s="13"/>
      <c r="G27" s="14"/>
      <c r="H27" s="12">
        <v>3000.0</v>
      </c>
      <c r="I27" s="15">
        <f t="shared" si="2"/>
        <v>50025</v>
      </c>
    </row>
    <row r="28">
      <c r="A28" s="10">
        <v>45863.0</v>
      </c>
      <c r="B28" s="12">
        <v>23100.0</v>
      </c>
      <c r="C28" s="12">
        <v>24940.0</v>
      </c>
      <c r="D28" s="13">
        <f t="shared" si="1"/>
        <v>48040</v>
      </c>
      <c r="E28" s="13"/>
      <c r="F28" s="13"/>
      <c r="G28" s="14"/>
      <c r="H28" s="12">
        <v>2650.0</v>
      </c>
      <c r="I28" s="15">
        <f t="shared" si="2"/>
        <v>50690</v>
      </c>
    </row>
    <row r="29">
      <c r="A29" s="10">
        <v>45864.0</v>
      </c>
      <c r="B29" s="12">
        <v>29800.0</v>
      </c>
      <c r="C29" s="12">
        <v>22000.0</v>
      </c>
      <c r="D29" s="13">
        <f t="shared" si="1"/>
        <v>51800</v>
      </c>
      <c r="E29" s="13"/>
      <c r="F29" s="13"/>
      <c r="G29" s="14"/>
      <c r="H29" s="12">
        <v>3900.0</v>
      </c>
      <c r="I29" s="15">
        <f t="shared" si="2"/>
        <v>55700</v>
      </c>
    </row>
    <row r="30">
      <c r="A30" s="10">
        <v>45865.0</v>
      </c>
      <c r="B30" s="12">
        <v>26650.0</v>
      </c>
      <c r="C30" s="12">
        <v>21340.0</v>
      </c>
      <c r="D30" s="13">
        <f t="shared" si="1"/>
        <v>47990</v>
      </c>
      <c r="E30" s="13"/>
      <c r="F30" s="13"/>
      <c r="G30" s="14"/>
      <c r="H30" s="12">
        <v>3150.0</v>
      </c>
      <c r="I30" s="15">
        <f t="shared" si="2"/>
        <v>51140</v>
      </c>
    </row>
    <row r="31">
      <c r="A31" s="10">
        <v>45866.0</v>
      </c>
      <c r="B31" s="12">
        <v>31900.0</v>
      </c>
      <c r="C31" s="12">
        <v>14890.0</v>
      </c>
      <c r="D31" s="13">
        <f t="shared" si="1"/>
        <v>46790</v>
      </c>
      <c r="E31" s="11"/>
      <c r="F31" s="11"/>
      <c r="G31" s="14"/>
      <c r="H31" s="12">
        <v>2600.0</v>
      </c>
      <c r="I31" s="15">
        <f t="shared" si="2"/>
        <v>49390</v>
      </c>
    </row>
    <row r="32">
      <c r="A32" s="10">
        <v>45867.0</v>
      </c>
      <c r="B32" s="12">
        <v>22300.0</v>
      </c>
      <c r="C32" s="12">
        <v>22724.0</v>
      </c>
      <c r="D32" s="13">
        <f t="shared" si="1"/>
        <v>45024</v>
      </c>
      <c r="E32" s="13"/>
      <c r="F32" s="11" t="s">
        <v>35</v>
      </c>
      <c r="G32" s="12">
        <v>10000.0</v>
      </c>
      <c r="H32" s="12">
        <v>3000.0</v>
      </c>
      <c r="I32" s="15">
        <f t="shared" si="2"/>
        <v>48024</v>
      </c>
    </row>
    <row r="33">
      <c r="A33" s="10">
        <v>45868.0</v>
      </c>
      <c r="B33" s="12">
        <v>17000.0</v>
      </c>
      <c r="C33" s="12">
        <v>17413.0</v>
      </c>
      <c r="D33" s="13">
        <f t="shared" si="1"/>
        <v>34413</v>
      </c>
      <c r="E33" s="14"/>
      <c r="F33" s="12"/>
      <c r="G33" s="12"/>
      <c r="H33" s="12">
        <v>2700.0</v>
      </c>
      <c r="I33" s="15">
        <f t="shared" si="2"/>
        <v>37113</v>
      </c>
    </row>
    <row r="34">
      <c r="A34" s="10">
        <v>45869.0</v>
      </c>
      <c r="B34" s="12">
        <v>22950.0</v>
      </c>
      <c r="C34" s="12">
        <v>24065.0</v>
      </c>
      <c r="D34" s="13">
        <f t="shared" si="1"/>
        <v>47015</v>
      </c>
      <c r="E34" s="14"/>
      <c r="F34" s="12" t="s">
        <v>37</v>
      </c>
      <c r="G34" s="12">
        <v>10000.0</v>
      </c>
      <c r="H34" s="12">
        <v>2250.0</v>
      </c>
      <c r="I34" s="15">
        <f t="shared" si="2"/>
        <v>49265</v>
      </c>
    </row>
    <row r="35">
      <c r="A35" s="13"/>
      <c r="B35" s="13">
        <f t="shared" ref="B35:C35" si="3">SUM(B3:B34)</f>
        <v>689070</v>
      </c>
      <c r="C35" s="13">
        <f t="shared" si="3"/>
        <v>598975</v>
      </c>
      <c r="D35" s="13">
        <f t="shared" si="1"/>
        <v>1288045</v>
      </c>
      <c r="E35" s="13">
        <f>SUM(E3:E33)</f>
        <v>191399</v>
      </c>
      <c r="F35" s="13">
        <f t="shared" ref="F35:H35" si="4">SUM(F3:F34)</f>
        <v>0</v>
      </c>
      <c r="G35" s="13">
        <f t="shared" si="4"/>
        <v>146000</v>
      </c>
      <c r="H35" s="13">
        <f t="shared" si="4"/>
        <v>79730</v>
      </c>
      <c r="I35" s="15">
        <f t="shared" si="2"/>
        <v>1367775</v>
      </c>
    </row>
    <row r="36">
      <c r="A36" s="16"/>
      <c r="B36" s="16"/>
      <c r="C36" s="16"/>
      <c r="D36" s="16"/>
      <c r="E36" s="16"/>
      <c r="F36" s="16"/>
      <c r="G36" s="16"/>
      <c r="H36" s="16"/>
    </row>
    <row r="37">
      <c r="A37" s="16"/>
      <c r="B37" s="16"/>
      <c r="C37" s="16"/>
      <c r="D37" s="16"/>
      <c r="E37" s="16"/>
      <c r="F37" s="16"/>
      <c r="G37" s="16"/>
      <c r="H37" s="16"/>
    </row>
    <row r="38">
      <c r="F38" s="15">
        <f>E35+G35</f>
        <v>337399</v>
      </c>
    </row>
    <row r="46">
      <c r="E46" s="15">
        <f>D35-G24-G25-G32-E26-E15-E19-E20</f>
        <v>1100646</v>
      </c>
    </row>
  </sheetData>
  <mergeCells count="1">
    <mergeCell ref="A1:H2"/>
  </mergeCells>
  <conditionalFormatting sqref="A4:A37">
    <cfRule type="notContainsBlanks" dxfId="0" priority="1">
      <formula>LEN(TRIM(A4))&gt;0</formula>
    </cfRule>
  </conditionalFormatting>
  <conditionalFormatting sqref="A4:A38">
    <cfRule type="expression" dxfId="0" priority="2">
      <formula>AND(ISNUMBER(A4),TRUNC(A4)&gt;TODAY())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6" max="6" width="13.5"/>
    <col customWidth="1" min="7" max="7" width="16.5"/>
    <col customWidth="1" min="8" max="8" width="17.88"/>
  </cols>
  <sheetData>
    <row r="1">
      <c r="A1" s="1" t="s">
        <v>2</v>
      </c>
      <c r="B1" s="2"/>
      <c r="C1" s="2"/>
      <c r="D1" s="2"/>
      <c r="E1" s="2"/>
      <c r="F1" s="2"/>
      <c r="G1" s="2"/>
      <c r="H1" s="4"/>
    </row>
    <row r="2">
      <c r="A2" s="5"/>
      <c r="B2" s="6"/>
      <c r="C2" s="6"/>
      <c r="D2" s="6"/>
      <c r="E2" s="6"/>
      <c r="F2" s="6"/>
      <c r="G2" s="6"/>
      <c r="H2" s="8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</row>
    <row r="4">
      <c r="A4" s="10">
        <v>45870.0</v>
      </c>
      <c r="B4" s="12">
        <v>15500.0</v>
      </c>
      <c r="C4" s="12">
        <v>25729.0</v>
      </c>
      <c r="D4" s="13">
        <f t="shared" ref="D4:D35" si="1">B4+C4</f>
        <v>41229</v>
      </c>
      <c r="E4" s="11">
        <v>32000.0</v>
      </c>
      <c r="F4" s="11" t="s">
        <v>13</v>
      </c>
      <c r="G4" s="11"/>
      <c r="H4" s="12">
        <v>2110.0</v>
      </c>
      <c r="I4" s="15">
        <f t="shared" ref="I4:I35" si="2">D4+H4</f>
        <v>43339</v>
      </c>
    </row>
    <row r="5">
      <c r="A5" s="10">
        <v>45871.0</v>
      </c>
      <c r="B5" s="12">
        <v>23000.0</v>
      </c>
      <c r="C5" s="12">
        <v>27860.0</v>
      </c>
      <c r="D5" s="13">
        <f t="shared" si="1"/>
        <v>50860</v>
      </c>
      <c r="E5" s="11"/>
      <c r="F5" s="11" t="s">
        <v>19</v>
      </c>
      <c r="G5" s="11">
        <v>1000.0</v>
      </c>
      <c r="H5" s="12">
        <v>2250.0</v>
      </c>
      <c r="I5" s="15">
        <f t="shared" si="2"/>
        <v>53110</v>
      </c>
    </row>
    <row r="6">
      <c r="A6" s="10">
        <v>45872.0</v>
      </c>
      <c r="B6" s="12">
        <v>28000.0</v>
      </c>
      <c r="C6" s="12">
        <v>18451.0</v>
      </c>
      <c r="D6" s="13">
        <f t="shared" si="1"/>
        <v>46451</v>
      </c>
      <c r="E6" s="11">
        <v>29158.0</v>
      </c>
      <c r="F6" s="11" t="s">
        <v>13</v>
      </c>
      <c r="G6" s="13"/>
      <c r="H6" s="12">
        <v>1900.0</v>
      </c>
      <c r="I6" s="15">
        <f t="shared" si="2"/>
        <v>48351</v>
      </c>
    </row>
    <row r="7">
      <c r="A7" s="10">
        <v>45873.0</v>
      </c>
      <c r="B7" s="12">
        <v>25000.0</v>
      </c>
      <c r="C7" s="12">
        <v>19660.0</v>
      </c>
      <c r="D7" s="13">
        <f t="shared" si="1"/>
        <v>44660</v>
      </c>
      <c r="E7" s="11">
        <v>25804.0</v>
      </c>
      <c r="F7" s="11" t="s">
        <v>13</v>
      </c>
      <c r="G7" s="13"/>
      <c r="H7" s="12">
        <v>1830.0</v>
      </c>
      <c r="I7" s="15">
        <f t="shared" si="2"/>
        <v>46490</v>
      </c>
    </row>
    <row r="8">
      <c r="A8" s="10">
        <v>45874.0</v>
      </c>
      <c r="B8" s="12">
        <v>24500.0</v>
      </c>
      <c r="C8" s="12">
        <v>15310.0</v>
      </c>
      <c r="D8" s="13">
        <f t="shared" si="1"/>
        <v>39810</v>
      </c>
      <c r="E8" s="11"/>
      <c r="F8" s="11"/>
      <c r="G8" s="13"/>
      <c r="H8" s="12">
        <v>3700.0</v>
      </c>
      <c r="I8" s="15">
        <f t="shared" si="2"/>
        <v>43510</v>
      </c>
    </row>
    <row r="9">
      <c r="A9" s="10">
        <v>45875.0</v>
      </c>
      <c r="B9" s="12">
        <v>26000.0</v>
      </c>
      <c r="C9" s="12">
        <v>35420.0</v>
      </c>
      <c r="D9" s="13">
        <f t="shared" si="1"/>
        <v>61420</v>
      </c>
      <c r="E9" s="13"/>
      <c r="F9" s="13"/>
      <c r="G9" s="13"/>
      <c r="H9" s="12">
        <v>1580.0</v>
      </c>
      <c r="I9" s="15">
        <f t="shared" si="2"/>
        <v>63000</v>
      </c>
    </row>
    <row r="10">
      <c r="A10" s="10">
        <v>45876.0</v>
      </c>
      <c r="B10" s="12">
        <v>22900.0</v>
      </c>
      <c r="C10" s="12">
        <v>24085.0</v>
      </c>
      <c r="D10" s="13">
        <f t="shared" si="1"/>
        <v>46985</v>
      </c>
      <c r="E10" s="13"/>
      <c r="F10" s="13"/>
      <c r="G10" s="13"/>
      <c r="H10" s="12">
        <v>3800.0</v>
      </c>
      <c r="I10" s="15">
        <f t="shared" si="2"/>
        <v>50785</v>
      </c>
    </row>
    <row r="11">
      <c r="A11" s="10">
        <v>45877.0</v>
      </c>
      <c r="B11" s="12">
        <v>14500.0</v>
      </c>
      <c r="C11" s="12">
        <v>23205.0</v>
      </c>
      <c r="D11" s="13">
        <f t="shared" si="1"/>
        <v>37705</v>
      </c>
      <c r="E11" s="13"/>
      <c r="F11" s="13"/>
      <c r="G11" s="13"/>
      <c r="H11" s="12">
        <v>2000.0</v>
      </c>
      <c r="I11" s="15">
        <f t="shared" si="2"/>
        <v>39705</v>
      </c>
    </row>
    <row r="12">
      <c r="A12" s="10">
        <v>45878.0</v>
      </c>
      <c r="B12" s="12">
        <v>26000.0</v>
      </c>
      <c r="C12" s="12">
        <v>25768.0</v>
      </c>
      <c r="D12" s="13">
        <f t="shared" si="1"/>
        <v>51768</v>
      </c>
      <c r="E12" s="11">
        <v>5000.0</v>
      </c>
      <c r="F12" s="11" t="s">
        <v>24</v>
      </c>
      <c r="G12" s="13"/>
      <c r="H12" s="12">
        <v>1950.0</v>
      </c>
      <c r="I12" s="15">
        <f t="shared" si="2"/>
        <v>53718</v>
      </c>
    </row>
    <row r="13">
      <c r="A13" s="10">
        <v>45879.0</v>
      </c>
      <c r="B13" s="12">
        <v>24500.0</v>
      </c>
      <c r="C13" s="12">
        <v>29540.0</v>
      </c>
      <c r="D13" s="13">
        <f t="shared" si="1"/>
        <v>54040</v>
      </c>
      <c r="E13" s="13"/>
      <c r="F13" s="13"/>
      <c r="G13" s="13"/>
      <c r="H13" s="12">
        <v>2250.0</v>
      </c>
      <c r="I13" s="15">
        <f t="shared" si="2"/>
        <v>56290</v>
      </c>
    </row>
    <row r="14">
      <c r="A14" s="10">
        <v>45880.0</v>
      </c>
      <c r="B14" s="12">
        <v>28500.0</v>
      </c>
      <c r="C14" s="12">
        <v>18740.0</v>
      </c>
      <c r="D14" s="13">
        <f t="shared" si="1"/>
        <v>47240</v>
      </c>
      <c r="E14" s="13"/>
      <c r="F14" s="11" t="s">
        <v>26</v>
      </c>
      <c r="G14" s="11">
        <v>15000.0</v>
      </c>
      <c r="H14" s="12">
        <v>2450.0</v>
      </c>
      <c r="I14" s="15">
        <f t="shared" si="2"/>
        <v>49690</v>
      </c>
    </row>
    <row r="15">
      <c r="A15" s="10">
        <v>45881.0</v>
      </c>
      <c r="B15" s="12">
        <v>29800.0</v>
      </c>
      <c r="C15" s="12">
        <v>17940.0</v>
      </c>
      <c r="D15" s="13">
        <f t="shared" si="1"/>
        <v>47740</v>
      </c>
      <c r="E15" s="11"/>
      <c r="F15" s="11"/>
      <c r="G15" s="13"/>
      <c r="H15" s="12">
        <v>3000.0</v>
      </c>
      <c r="I15" s="15">
        <f t="shared" si="2"/>
        <v>50740</v>
      </c>
    </row>
    <row r="16">
      <c r="A16" s="10">
        <v>45882.0</v>
      </c>
      <c r="B16" s="12">
        <v>20500.0</v>
      </c>
      <c r="C16" s="12">
        <v>26159.0</v>
      </c>
      <c r="D16" s="13">
        <f t="shared" si="1"/>
        <v>46659</v>
      </c>
      <c r="E16" s="13"/>
      <c r="F16" s="13"/>
      <c r="G16" s="13"/>
      <c r="H16" s="12">
        <v>3650.0</v>
      </c>
      <c r="I16" s="15">
        <f t="shared" si="2"/>
        <v>50309</v>
      </c>
    </row>
    <row r="17">
      <c r="A17" s="10">
        <v>45883.0</v>
      </c>
      <c r="B17" s="12">
        <v>26500.0</v>
      </c>
      <c r="C17" s="12">
        <v>19520.0</v>
      </c>
      <c r="D17" s="13">
        <f t="shared" si="1"/>
        <v>46020</v>
      </c>
      <c r="E17" s="13"/>
      <c r="F17" s="13"/>
      <c r="G17" s="13"/>
      <c r="H17" s="12">
        <v>2150.0</v>
      </c>
      <c r="I17" s="15">
        <f t="shared" si="2"/>
        <v>48170</v>
      </c>
    </row>
    <row r="18">
      <c r="A18" s="10">
        <v>45884.0</v>
      </c>
      <c r="B18" s="12">
        <v>33000.0</v>
      </c>
      <c r="C18" s="12">
        <v>21930.0</v>
      </c>
      <c r="D18" s="13">
        <f t="shared" si="1"/>
        <v>54930</v>
      </c>
      <c r="E18" s="13"/>
      <c r="F18" s="13"/>
      <c r="G18" s="13"/>
      <c r="H18" s="12">
        <v>2150.0</v>
      </c>
      <c r="I18" s="15">
        <f t="shared" si="2"/>
        <v>57080</v>
      </c>
    </row>
    <row r="19">
      <c r="A19" s="10">
        <v>45885.0</v>
      </c>
      <c r="B19" s="12">
        <v>22500.0</v>
      </c>
      <c r="C19" s="12">
        <v>30380.0</v>
      </c>
      <c r="D19" s="13">
        <f t="shared" si="1"/>
        <v>52880</v>
      </c>
      <c r="E19" s="11"/>
      <c r="F19" s="11"/>
      <c r="G19" s="13"/>
      <c r="H19" s="12">
        <v>2150.0</v>
      </c>
      <c r="I19" s="15">
        <f t="shared" si="2"/>
        <v>55030</v>
      </c>
    </row>
    <row r="20">
      <c r="A20" s="10">
        <v>45886.0</v>
      </c>
      <c r="B20" s="12">
        <v>24550.0</v>
      </c>
      <c r="C20" s="12">
        <v>20944.0</v>
      </c>
      <c r="D20" s="13">
        <f t="shared" si="1"/>
        <v>45494</v>
      </c>
      <c r="E20" s="11"/>
      <c r="F20" s="11"/>
      <c r="G20" s="13"/>
      <c r="H20" s="12">
        <v>3350.0</v>
      </c>
      <c r="I20" s="15">
        <f t="shared" si="2"/>
        <v>48844</v>
      </c>
    </row>
    <row r="21">
      <c r="A21" s="10">
        <v>45887.0</v>
      </c>
      <c r="B21" s="12">
        <v>27000.0</v>
      </c>
      <c r="C21" s="12">
        <v>19005.0</v>
      </c>
      <c r="D21" s="13">
        <f t="shared" si="1"/>
        <v>46005</v>
      </c>
      <c r="E21" s="13"/>
      <c r="F21" s="11" t="s">
        <v>29</v>
      </c>
      <c r="G21" s="11">
        <v>40000.0</v>
      </c>
      <c r="H21" s="12">
        <v>2150.0</v>
      </c>
      <c r="I21" s="15">
        <f t="shared" si="2"/>
        <v>48155</v>
      </c>
    </row>
    <row r="22">
      <c r="A22" s="10">
        <v>45888.0</v>
      </c>
      <c r="B22" s="12">
        <v>25500.0</v>
      </c>
      <c r="C22" s="12">
        <v>10650.0</v>
      </c>
      <c r="D22" s="13">
        <f t="shared" si="1"/>
        <v>36150</v>
      </c>
      <c r="E22" s="11"/>
      <c r="F22" s="11" t="s">
        <v>30</v>
      </c>
      <c r="G22" s="11">
        <v>34200.0</v>
      </c>
      <c r="H22" s="12">
        <v>2150.0</v>
      </c>
      <c r="I22" s="15">
        <f t="shared" si="2"/>
        <v>38300</v>
      </c>
    </row>
    <row r="23">
      <c r="A23" s="10">
        <v>45889.0</v>
      </c>
      <c r="B23" s="12">
        <v>17500.0</v>
      </c>
      <c r="C23" s="12">
        <v>25009.0</v>
      </c>
      <c r="D23" s="13">
        <f t="shared" si="1"/>
        <v>42509</v>
      </c>
      <c r="E23" s="13"/>
      <c r="F23" s="11" t="s">
        <v>24</v>
      </c>
      <c r="G23" s="11">
        <v>3000.0</v>
      </c>
      <c r="H23" s="12">
        <v>2150.0</v>
      </c>
      <c r="I23" s="15">
        <f t="shared" si="2"/>
        <v>44659</v>
      </c>
    </row>
    <row r="24">
      <c r="A24" s="10">
        <v>45890.0</v>
      </c>
      <c r="B24" s="12">
        <v>27280.0</v>
      </c>
      <c r="C24" s="12">
        <v>9385.0</v>
      </c>
      <c r="D24" s="13">
        <f t="shared" si="1"/>
        <v>36665</v>
      </c>
      <c r="E24" s="11">
        <v>38986.0</v>
      </c>
      <c r="F24" s="11" t="s">
        <v>13</v>
      </c>
      <c r="G24" s="11"/>
      <c r="H24" s="12">
        <v>3350.0</v>
      </c>
      <c r="I24" s="15">
        <f t="shared" si="2"/>
        <v>40015</v>
      </c>
    </row>
    <row r="25">
      <c r="A25" s="10">
        <v>45891.0</v>
      </c>
      <c r="B25" s="12">
        <v>23500.0</v>
      </c>
      <c r="C25" s="12">
        <v>30476.0</v>
      </c>
      <c r="D25" s="13">
        <f t="shared" si="1"/>
        <v>53976</v>
      </c>
      <c r="E25" s="11">
        <v>33696.0</v>
      </c>
      <c r="F25" s="11" t="s">
        <v>13</v>
      </c>
      <c r="G25" s="11"/>
      <c r="H25" s="12">
        <v>2200.0</v>
      </c>
      <c r="I25" s="15">
        <f t="shared" si="2"/>
        <v>56176</v>
      </c>
    </row>
    <row r="26">
      <c r="A26" s="10">
        <v>45892.0</v>
      </c>
      <c r="B26" s="12">
        <v>23500.0</v>
      </c>
      <c r="C26" s="12">
        <v>27460.0</v>
      </c>
      <c r="D26" s="13">
        <f t="shared" si="1"/>
        <v>50960</v>
      </c>
      <c r="E26" s="11">
        <v>49280.0</v>
      </c>
      <c r="F26" s="11" t="s">
        <v>13</v>
      </c>
      <c r="G26" s="13"/>
      <c r="H26" s="12">
        <v>2150.0</v>
      </c>
      <c r="I26" s="15">
        <f t="shared" si="2"/>
        <v>53110</v>
      </c>
    </row>
    <row r="27">
      <c r="A27" s="10">
        <v>45893.0</v>
      </c>
      <c r="B27" s="12">
        <v>22300.0</v>
      </c>
      <c r="C27" s="12">
        <v>35720.0</v>
      </c>
      <c r="D27" s="13">
        <f t="shared" si="1"/>
        <v>58020</v>
      </c>
      <c r="E27" s="13"/>
      <c r="F27" s="11" t="s">
        <v>26</v>
      </c>
      <c r="G27" s="11">
        <v>3000.0</v>
      </c>
      <c r="H27" s="12">
        <v>2100.0</v>
      </c>
      <c r="I27" s="15">
        <f t="shared" si="2"/>
        <v>60120</v>
      </c>
    </row>
    <row r="28">
      <c r="A28" s="10">
        <v>45894.0</v>
      </c>
      <c r="B28" s="12">
        <v>18500.0</v>
      </c>
      <c r="C28" s="12">
        <v>19390.0</v>
      </c>
      <c r="D28" s="13">
        <f t="shared" si="1"/>
        <v>37890</v>
      </c>
      <c r="E28" s="13"/>
      <c r="F28" s="13"/>
      <c r="G28" s="13"/>
      <c r="H28" s="12">
        <v>2200.0</v>
      </c>
      <c r="I28" s="15">
        <f t="shared" si="2"/>
        <v>40090</v>
      </c>
    </row>
    <row r="29">
      <c r="A29" s="10">
        <v>45895.0</v>
      </c>
      <c r="B29" s="12">
        <v>18750.0</v>
      </c>
      <c r="C29" s="12">
        <v>17430.0</v>
      </c>
      <c r="D29" s="13">
        <f t="shared" si="1"/>
        <v>36180</v>
      </c>
      <c r="E29" s="13"/>
      <c r="F29" s="13"/>
      <c r="G29" s="13"/>
      <c r="H29" s="12">
        <v>2200.0</v>
      </c>
      <c r="I29" s="15">
        <f t="shared" si="2"/>
        <v>38380</v>
      </c>
    </row>
    <row r="30">
      <c r="A30" s="10">
        <v>45896.0</v>
      </c>
      <c r="B30" s="12">
        <v>18000.0</v>
      </c>
      <c r="C30" s="12">
        <v>20870.0</v>
      </c>
      <c r="D30" s="13">
        <f t="shared" si="1"/>
        <v>38870</v>
      </c>
      <c r="E30" s="13"/>
      <c r="F30" s="13"/>
      <c r="G30" s="13"/>
      <c r="H30" s="12">
        <v>2300.0</v>
      </c>
      <c r="I30" s="15">
        <f t="shared" si="2"/>
        <v>41170</v>
      </c>
    </row>
    <row r="31">
      <c r="A31" s="10">
        <v>45897.0</v>
      </c>
      <c r="B31" s="12">
        <v>16200.0</v>
      </c>
      <c r="C31" s="12">
        <v>32000.0</v>
      </c>
      <c r="D31" s="13">
        <f t="shared" si="1"/>
        <v>48200</v>
      </c>
      <c r="E31" s="11"/>
      <c r="F31" s="11"/>
      <c r="G31" s="13"/>
      <c r="H31" s="12">
        <v>2450.0</v>
      </c>
      <c r="I31" s="15">
        <f t="shared" si="2"/>
        <v>50650</v>
      </c>
    </row>
    <row r="32">
      <c r="A32" s="10">
        <v>45898.0</v>
      </c>
      <c r="B32" s="12">
        <v>13200.0</v>
      </c>
      <c r="C32" s="12">
        <v>30000.0</v>
      </c>
      <c r="D32" s="13">
        <f t="shared" si="1"/>
        <v>43200</v>
      </c>
      <c r="E32" s="13"/>
      <c r="F32" s="11" t="s">
        <v>26</v>
      </c>
      <c r="G32" s="11">
        <v>2000.0</v>
      </c>
      <c r="H32" s="12">
        <v>4200.0</v>
      </c>
      <c r="I32" s="15">
        <f t="shared" si="2"/>
        <v>47400</v>
      </c>
    </row>
    <row r="33">
      <c r="A33" s="10">
        <v>45899.0</v>
      </c>
      <c r="B33" s="12">
        <v>29000.0</v>
      </c>
      <c r="C33" s="12">
        <v>20000.0</v>
      </c>
      <c r="D33" s="13">
        <f t="shared" si="1"/>
        <v>49000</v>
      </c>
      <c r="E33" s="14"/>
      <c r="F33" s="11" t="s">
        <v>36</v>
      </c>
      <c r="G33" s="11">
        <v>2500.0</v>
      </c>
      <c r="H33" s="12">
        <v>2200.0</v>
      </c>
      <c r="I33" s="15">
        <f t="shared" si="2"/>
        <v>51200</v>
      </c>
    </row>
    <row r="34">
      <c r="A34" s="10">
        <v>45900.0</v>
      </c>
      <c r="B34" s="12">
        <v>18500.0</v>
      </c>
      <c r="C34" s="12">
        <v>38000.0</v>
      </c>
      <c r="D34" s="13">
        <f t="shared" si="1"/>
        <v>56500</v>
      </c>
      <c r="E34" s="11">
        <v>10000.0</v>
      </c>
      <c r="F34" s="11" t="s">
        <v>14</v>
      </c>
      <c r="G34" s="11">
        <v>54000.0</v>
      </c>
      <c r="H34" s="12">
        <v>2200.0</v>
      </c>
      <c r="I34" s="15">
        <f t="shared" si="2"/>
        <v>58700</v>
      </c>
    </row>
    <row r="35">
      <c r="A35" s="13"/>
      <c r="B35" s="13">
        <f t="shared" ref="B35:C35" si="3">SUM(B3:B34)</f>
        <v>713980</v>
      </c>
      <c r="C35" s="13">
        <f t="shared" si="3"/>
        <v>736036</v>
      </c>
      <c r="D35" s="13">
        <f t="shared" si="1"/>
        <v>1450016</v>
      </c>
      <c r="E35" s="13">
        <f>SUM(E3:E34)</f>
        <v>223924</v>
      </c>
      <c r="F35" s="14">
        <f>E35+H40</f>
        <v>223924</v>
      </c>
      <c r="G35" s="13">
        <f t="shared" ref="G35:H35" si="4">SUM(G3:G34)</f>
        <v>154700</v>
      </c>
      <c r="H35" s="13">
        <f t="shared" si="4"/>
        <v>76270</v>
      </c>
      <c r="I35" s="15">
        <f t="shared" si="2"/>
        <v>1526286</v>
      </c>
    </row>
    <row r="36">
      <c r="A36" s="16"/>
      <c r="B36" s="16"/>
      <c r="C36" s="16"/>
      <c r="D36" s="16"/>
      <c r="E36" s="16"/>
      <c r="F36" s="16"/>
      <c r="G36" s="16"/>
      <c r="H36" s="16"/>
    </row>
    <row r="37">
      <c r="A37" s="16"/>
      <c r="B37" s="16"/>
      <c r="C37" s="16"/>
      <c r="D37" s="16"/>
      <c r="E37" s="16"/>
      <c r="F37" s="16"/>
      <c r="G37" s="16"/>
      <c r="H37" s="16"/>
    </row>
    <row r="43">
      <c r="I43" s="23"/>
    </row>
    <row r="46">
      <c r="E46" s="15">
        <f>D35-G24-G25-G32-E26-E15-E19-E20</f>
        <v>1398736</v>
      </c>
    </row>
    <row r="58">
      <c r="H58" s="23">
        <v>511778.0</v>
      </c>
    </row>
  </sheetData>
  <mergeCells count="1">
    <mergeCell ref="A1:H2"/>
  </mergeCells>
  <conditionalFormatting sqref="A4:A37">
    <cfRule type="notContainsBlanks" dxfId="0" priority="1">
      <formula>LEN(TRIM(A4))&gt;0</formula>
    </cfRule>
  </conditionalFormatting>
  <conditionalFormatting sqref="A4:A38">
    <cfRule type="expression" dxfId="0" priority="2">
      <formula>AND(ISNUMBER(A4),TRUNC(A4)&gt;TODAY())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5"/>
    <col customWidth="1" min="6" max="6" width="22.25"/>
    <col customWidth="1" min="7" max="7" width="16.88"/>
    <col customWidth="1" min="8" max="8" width="15.63"/>
  </cols>
  <sheetData>
    <row r="1">
      <c r="A1" s="1" t="s">
        <v>2</v>
      </c>
      <c r="B1" s="2"/>
      <c r="C1" s="2"/>
      <c r="D1" s="2"/>
      <c r="E1" s="2"/>
      <c r="F1" s="2"/>
      <c r="G1" s="2"/>
      <c r="H1" s="4"/>
    </row>
    <row r="2">
      <c r="A2" s="5"/>
      <c r="B2" s="6"/>
      <c r="C2" s="6"/>
      <c r="D2" s="6"/>
      <c r="E2" s="6"/>
      <c r="F2" s="6"/>
      <c r="G2" s="6"/>
      <c r="H2" s="8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M3" s="24" t="s">
        <v>13</v>
      </c>
    </row>
    <row r="4">
      <c r="A4" s="10">
        <v>45901.0</v>
      </c>
      <c r="B4" s="11">
        <v>20600.0</v>
      </c>
      <c r="C4" s="11">
        <v>16185.0</v>
      </c>
      <c r="D4" s="13">
        <f t="shared" ref="D4:D35" si="1">B4+C4</f>
        <v>36785</v>
      </c>
      <c r="E4" s="11">
        <v>30251.0</v>
      </c>
      <c r="F4" s="11" t="s">
        <v>38</v>
      </c>
      <c r="G4" s="12"/>
      <c r="H4" s="12">
        <v>2925.0</v>
      </c>
      <c r="I4" s="15">
        <f t="shared" ref="I4:I35" si="2">D4+H4</f>
        <v>39710</v>
      </c>
      <c r="M4" s="24">
        <v>6035.0</v>
      </c>
      <c r="N4" s="16">
        <f t="shared" ref="N4:N34" si="3">D4-M4</f>
        <v>30750</v>
      </c>
      <c r="O4" s="16"/>
    </row>
    <row r="5">
      <c r="A5" s="10">
        <v>45902.0</v>
      </c>
      <c r="B5" s="11">
        <v>13900.0</v>
      </c>
      <c r="C5" s="11">
        <v>29135.0</v>
      </c>
      <c r="D5" s="13">
        <f t="shared" si="1"/>
        <v>43035</v>
      </c>
      <c r="E5" s="11">
        <v>43334.0</v>
      </c>
      <c r="F5" s="11" t="s">
        <v>13</v>
      </c>
      <c r="G5" s="12"/>
      <c r="H5" s="12">
        <v>2200.0</v>
      </c>
      <c r="I5" s="15">
        <f t="shared" si="2"/>
        <v>45235</v>
      </c>
      <c r="M5" s="24">
        <v>8795.0</v>
      </c>
      <c r="N5" s="16">
        <f t="shared" si="3"/>
        <v>34240</v>
      </c>
      <c r="O5" s="16"/>
    </row>
    <row r="6">
      <c r="A6" s="10">
        <v>45903.0</v>
      </c>
      <c r="B6" s="11">
        <v>15000.0</v>
      </c>
      <c r="C6" s="11">
        <v>19730.0</v>
      </c>
      <c r="D6" s="13">
        <f t="shared" si="1"/>
        <v>34730</v>
      </c>
      <c r="E6" s="11">
        <v>92350.0</v>
      </c>
      <c r="F6" s="11" t="s">
        <v>13</v>
      </c>
      <c r="G6" s="14"/>
      <c r="H6" s="12">
        <v>3540.0</v>
      </c>
      <c r="I6" s="15">
        <f t="shared" si="2"/>
        <v>38270</v>
      </c>
      <c r="M6" s="24">
        <v>6485.0</v>
      </c>
      <c r="N6" s="16">
        <f t="shared" si="3"/>
        <v>28245</v>
      </c>
      <c r="O6" s="16"/>
    </row>
    <row r="7">
      <c r="A7" s="10">
        <v>45904.0</v>
      </c>
      <c r="B7" s="11">
        <v>23130.0</v>
      </c>
      <c r="C7" s="11">
        <v>18320.0</v>
      </c>
      <c r="D7" s="13">
        <f t="shared" si="1"/>
        <v>41450</v>
      </c>
      <c r="E7" s="11">
        <v>7900.0</v>
      </c>
      <c r="F7" s="11" t="s">
        <v>13</v>
      </c>
      <c r="G7" s="14"/>
      <c r="H7" s="12">
        <v>1800.0</v>
      </c>
      <c r="I7" s="15">
        <f t="shared" si="2"/>
        <v>43250</v>
      </c>
      <c r="M7" s="24">
        <v>10525.0</v>
      </c>
      <c r="N7" s="16">
        <f t="shared" si="3"/>
        <v>30925</v>
      </c>
      <c r="O7" s="16"/>
    </row>
    <row r="8">
      <c r="A8" s="10">
        <v>45905.0</v>
      </c>
      <c r="B8" s="11">
        <v>16200.0</v>
      </c>
      <c r="C8" s="11">
        <v>26095.0</v>
      </c>
      <c r="D8" s="13">
        <f t="shared" si="1"/>
        <v>42295</v>
      </c>
      <c r="E8" s="11">
        <v>20000.0</v>
      </c>
      <c r="F8" s="11" t="s">
        <v>39</v>
      </c>
      <c r="G8" s="14"/>
      <c r="H8" s="12">
        <v>2100.0</v>
      </c>
      <c r="I8" s="15">
        <f t="shared" si="2"/>
        <v>44395</v>
      </c>
      <c r="M8" s="24">
        <v>9650.0</v>
      </c>
      <c r="N8" s="16">
        <f t="shared" si="3"/>
        <v>32645</v>
      </c>
      <c r="O8" s="16"/>
    </row>
    <row r="9">
      <c r="A9" s="10">
        <v>45906.0</v>
      </c>
      <c r="B9" s="11">
        <v>24800.0</v>
      </c>
      <c r="C9" s="11">
        <v>30366.0</v>
      </c>
      <c r="D9" s="13">
        <f t="shared" si="1"/>
        <v>55166</v>
      </c>
      <c r="E9" s="11">
        <v>41400.0</v>
      </c>
      <c r="F9" s="11" t="s">
        <v>40</v>
      </c>
      <c r="G9" s="14"/>
      <c r="H9" s="12">
        <v>700.0</v>
      </c>
      <c r="I9" s="15">
        <f t="shared" si="2"/>
        <v>55866</v>
      </c>
      <c r="M9" s="24">
        <v>12305.0</v>
      </c>
      <c r="N9" s="16">
        <f t="shared" si="3"/>
        <v>42861</v>
      </c>
      <c r="O9" s="16"/>
    </row>
    <row r="10">
      <c r="A10" s="10">
        <v>45907.0</v>
      </c>
      <c r="B10" s="11">
        <v>31650.0</v>
      </c>
      <c r="C10" s="11">
        <v>33630.0</v>
      </c>
      <c r="D10" s="13">
        <f t="shared" si="1"/>
        <v>65280</v>
      </c>
      <c r="E10" s="13"/>
      <c r="F10" s="11" t="s">
        <v>42</v>
      </c>
      <c r="G10" s="12">
        <v>2000.0</v>
      </c>
      <c r="H10" s="12">
        <v>2100.0</v>
      </c>
      <c r="I10" s="15">
        <f t="shared" si="2"/>
        <v>67380</v>
      </c>
      <c r="M10" s="24">
        <v>12325.0</v>
      </c>
      <c r="N10" s="16">
        <f t="shared" si="3"/>
        <v>52955</v>
      </c>
      <c r="O10" s="16"/>
    </row>
    <row r="11">
      <c r="A11" s="10">
        <v>45908.0</v>
      </c>
      <c r="B11" s="11">
        <v>19900.0</v>
      </c>
      <c r="C11" s="11">
        <v>20640.0</v>
      </c>
      <c r="D11" s="13">
        <f t="shared" si="1"/>
        <v>40540</v>
      </c>
      <c r="E11" s="13"/>
      <c r="F11" s="11" t="s">
        <v>43</v>
      </c>
      <c r="G11" s="12">
        <v>1000.0</v>
      </c>
      <c r="H11" s="12">
        <v>2150.0</v>
      </c>
      <c r="I11" s="15">
        <f t="shared" si="2"/>
        <v>42690</v>
      </c>
      <c r="M11" s="24">
        <v>10105.0</v>
      </c>
      <c r="N11" s="16">
        <f t="shared" si="3"/>
        <v>30435</v>
      </c>
      <c r="O11" s="16"/>
    </row>
    <row r="12">
      <c r="A12" s="10">
        <v>45909.0</v>
      </c>
      <c r="B12" s="11">
        <v>21020.0</v>
      </c>
      <c r="C12" s="11">
        <v>21020.0</v>
      </c>
      <c r="D12" s="13">
        <f t="shared" si="1"/>
        <v>42040</v>
      </c>
      <c r="E12" s="11">
        <v>30427.0</v>
      </c>
      <c r="F12" s="11" t="s">
        <v>13</v>
      </c>
      <c r="G12" s="14"/>
      <c r="H12" s="12">
        <v>1650.0</v>
      </c>
      <c r="I12" s="15">
        <f t="shared" si="2"/>
        <v>43690</v>
      </c>
      <c r="M12" s="24">
        <v>7690.0</v>
      </c>
      <c r="N12" s="16">
        <f t="shared" si="3"/>
        <v>34350</v>
      </c>
      <c r="O12" s="16"/>
    </row>
    <row r="13">
      <c r="A13" s="10">
        <v>45910.0</v>
      </c>
      <c r="B13" s="11">
        <v>24500.0</v>
      </c>
      <c r="C13" s="11">
        <v>23315.0</v>
      </c>
      <c r="D13" s="13">
        <f t="shared" si="1"/>
        <v>47815</v>
      </c>
      <c r="E13" s="11">
        <v>10000.0</v>
      </c>
      <c r="F13" s="11" t="s">
        <v>24</v>
      </c>
      <c r="G13" s="14"/>
      <c r="H13" s="12">
        <v>1550.0</v>
      </c>
      <c r="I13" s="15">
        <f t="shared" si="2"/>
        <v>49365</v>
      </c>
      <c r="M13" s="24">
        <v>12235.0</v>
      </c>
      <c r="N13" s="16">
        <f t="shared" si="3"/>
        <v>35580</v>
      </c>
      <c r="O13" s="16"/>
    </row>
    <row r="14">
      <c r="A14" s="10">
        <v>45911.0</v>
      </c>
      <c r="B14" s="11">
        <v>24000.0</v>
      </c>
      <c r="C14" s="11">
        <v>14910.0</v>
      </c>
      <c r="D14" s="13">
        <f t="shared" si="1"/>
        <v>38910</v>
      </c>
      <c r="E14" s="13"/>
      <c r="F14" s="11"/>
      <c r="G14" s="12"/>
      <c r="H14" s="12">
        <v>1550.0</v>
      </c>
      <c r="I14" s="15">
        <f t="shared" si="2"/>
        <v>40460</v>
      </c>
      <c r="M14" s="24">
        <v>14260.0</v>
      </c>
      <c r="N14" s="16">
        <f t="shared" si="3"/>
        <v>24650</v>
      </c>
      <c r="O14" s="16"/>
    </row>
    <row r="15">
      <c r="A15" s="10">
        <v>45912.0</v>
      </c>
      <c r="B15" s="11">
        <v>21000.0</v>
      </c>
      <c r="C15" s="11">
        <v>25000.0</v>
      </c>
      <c r="D15" s="13">
        <f t="shared" si="1"/>
        <v>46000</v>
      </c>
      <c r="E15" s="11"/>
      <c r="F15" s="11"/>
      <c r="G15" s="14"/>
      <c r="H15" s="12">
        <v>550.0</v>
      </c>
      <c r="I15" s="15">
        <f t="shared" si="2"/>
        <v>46550</v>
      </c>
      <c r="M15" s="24">
        <v>12095.0</v>
      </c>
      <c r="N15" s="16">
        <f t="shared" si="3"/>
        <v>33905</v>
      </c>
      <c r="O15" s="16"/>
    </row>
    <row r="16">
      <c r="A16" s="10">
        <v>45913.0</v>
      </c>
      <c r="B16" s="11">
        <v>32000.0</v>
      </c>
      <c r="C16" s="11">
        <v>18000.0</v>
      </c>
      <c r="D16" s="13">
        <f t="shared" si="1"/>
        <v>50000</v>
      </c>
      <c r="E16" s="13"/>
      <c r="F16" s="13"/>
      <c r="G16" s="14"/>
      <c r="H16" s="12">
        <v>1550.0</v>
      </c>
      <c r="I16" s="15">
        <f t="shared" si="2"/>
        <v>51550</v>
      </c>
      <c r="M16" s="24">
        <v>13930.0</v>
      </c>
      <c r="N16" s="16">
        <f t="shared" si="3"/>
        <v>36070</v>
      </c>
      <c r="O16" s="16"/>
    </row>
    <row r="17">
      <c r="A17" s="10">
        <v>45914.0</v>
      </c>
      <c r="B17" s="11">
        <v>31500.0</v>
      </c>
      <c r="C17" s="11">
        <v>30570.0</v>
      </c>
      <c r="D17" s="13">
        <f t="shared" si="1"/>
        <v>62070</v>
      </c>
      <c r="E17" s="11">
        <v>25000.0</v>
      </c>
      <c r="F17" s="11" t="s">
        <v>45</v>
      </c>
      <c r="G17" s="14"/>
      <c r="H17" s="12">
        <v>2150.0</v>
      </c>
      <c r="I17" s="15">
        <f t="shared" si="2"/>
        <v>64220</v>
      </c>
      <c r="M17" s="24">
        <v>16370.0</v>
      </c>
      <c r="N17" s="16">
        <f t="shared" si="3"/>
        <v>45700</v>
      </c>
      <c r="O17" s="16"/>
    </row>
    <row r="18">
      <c r="A18" s="10">
        <v>45915.0</v>
      </c>
      <c r="B18" s="11">
        <v>29700.0</v>
      </c>
      <c r="C18" s="11">
        <v>19775.0</v>
      </c>
      <c r="D18" s="13">
        <f t="shared" si="1"/>
        <v>49475</v>
      </c>
      <c r="E18" s="11">
        <v>2500.0</v>
      </c>
      <c r="F18" s="11" t="s">
        <v>47</v>
      </c>
      <c r="G18" s="14"/>
      <c r="H18" s="12">
        <v>650.0</v>
      </c>
      <c r="I18" s="15">
        <f t="shared" si="2"/>
        <v>50125</v>
      </c>
      <c r="M18" s="24">
        <v>13150.0</v>
      </c>
      <c r="N18" s="16">
        <f t="shared" si="3"/>
        <v>36325</v>
      </c>
      <c r="O18" s="16"/>
    </row>
    <row r="19">
      <c r="A19" s="10">
        <v>45916.0</v>
      </c>
      <c r="B19" s="11">
        <v>22000.0</v>
      </c>
      <c r="C19" s="11">
        <v>18815.0</v>
      </c>
      <c r="D19" s="13">
        <f t="shared" si="1"/>
        <v>40815</v>
      </c>
      <c r="E19" s="11"/>
      <c r="F19" s="11" t="s">
        <v>49</v>
      </c>
      <c r="G19" s="12">
        <v>3000.0</v>
      </c>
      <c r="H19" s="12">
        <v>550.0</v>
      </c>
      <c r="I19" s="15">
        <f t="shared" si="2"/>
        <v>41365</v>
      </c>
      <c r="M19" s="24">
        <v>12155.0</v>
      </c>
      <c r="N19" s="16">
        <f t="shared" si="3"/>
        <v>28660</v>
      </c>
      <c r="O19" s="16"/>
    </row>
    <row r="20">
      <c r="A20" s="10">
        <v>45917.0</v>
      </c>
      <c r="B20" s="11">
        <v>20000.0</v>
      </c>
      <c r="C20" s="11">
        <v>18500.0</v>
      </c>
      <c r="D20" s="13">
        <f t="shared" si="1"/>
        <v>38500</v>
      </c>
      <c r="E20" s="11"/>
      <c r="F20" s="11"/>
      <c r="G20" s="14"/>
      <c r="H20" s="12">
        <v>1750.0</v>
      </c>
      <c r="I20" s="15">
        <f t="shared" si="2"/>
        <v>40250</v>
      </c>
      <c r="M20" s="24">
        <v>9200.0</v>
      </c>
      <c r="N20" s="16">
        <f t="shared" si="3"/>
        <v>29300</v>
      </c>
      <c r="O20" s="16"/>
    </row>
    <row r="21">
      <c r="A21" s="10">
        <v>45918.0</v>
      </c>
      <c r="B21" s="11">
        <v>24400.0</v>
      </c>
      <c r="C21" s="11">
        <v>19000.0</v>
      </c>
      <c r="D21" s="13">
        <f t="shared" si="1"/>
        <v>43400</v>
      </c>
      <c r="E21" s="11">
        <v>42322.0</v>
      </c>
      <c r="F21" s="11" t="s">
        <v>13</v>
      </c>
      <c r="G21" s="12"/>
      <c r="H21" s="12">
        <v>1550.0</v>
      </c>
      <c r="I21" s="15">
        <f t="shared" si="2"/>
        <v>44950</v>
      </c>
      <c r="M21" s="24">
        <v>14905.0</v>
      </c>
      <c r="N21" s="16">
        <f t="shared" si="3"/>
        <v>28495</v>
      </c>
      <c r="O21" s="16"/>
    </row>
    <row r="22">
      <c r="A22" s="10">
        <v>45919.0</v>
      </c>
      <c r="B22" s="11">
        <v>13000.0</v>
      </c>
      <c r="C22" s="11">
        <v>32910.0</v>
      </c>
      <c r="D22" s="13">
        <f t="shared" si="1"/>
        <v>45910</v>
      </c>
      <c r="E22" s="11"/>
      <c r="F22" s="11" t="s">
        <v>51</v>
      </c>
      <c r="G22" s="12">
        <v>2000.0</v>
      </c>
      <c r="H22" s="12">
        <v>1550.0</v>
      </c>
      <c r="I22" s="15">
        <f t="shared" si="2"/>
        <v>47460</v>
      </c>
      <c r="M22" s="24">
        <v>11985.0</v>
      </c>
      <c r="N22" s="16">
        <f t="shared" si="3"/>
        <v>33925</v>
      </c>
      <c r="O22" s="16"/>
    </row>
    <row r="23">
      <c r="A23" s="10">
        <v>45920.0</v>
      </c>
      <c r="B23" s="11">
        <v>15800.0</v>
      </c>
      <c r="C23" s="11">
        <v>26900.0</v>
      </c>
      <c r="D23" s="13">
        <f t="shared" si="1"/>
        <v>42700</v>
      </c>
      <c r="E23" s="13"/>
      <c r="F23" s="11"/>
      <c r="G23" s="12"/>
      <c r="H23" s="12">
        <v>850.0</v>
      </c>
      <c r="I23" s="15">
        <f t="shared" si="2"/>
        <v>43550</v>
      </c>
      <c r="M23" s="24">
        <v>8830.0</v>
      </c>
      <c r="N23" s="16">
        <f t="shared" si="3"/>
        <v>33870</v>
      </c>
      <c r="O23" s="16"/>
    </row>
    <row r="24">
      <c r="A24" s="10">
        <v>45921.0</v>
      </c>
      <c r="B24" s="11">
        <v>23200.0</v>
      </c>
      <c r="C24" s="11">
        <v>29450.0</v>
      </c>
      <c r="D24" s="13">
        <f t="shared" si="1"/>
        <v>52650</v>
      </c>
      <c r="E24" s="11"/>
      <c r="F24" s="11"/>
      <c r="G24" s="12"/>
      <c r="H24" s="12">
        <v>2100.0</v>
      </c>
      <c r="I24" s="15">
        <f t="shared" si="2"/>
        <v>54750</v>
      </c>
      <c r="M24" s="24">
        <v>10615.0</v>
      </c>
      <c r="N24" s="16">
        <f t="shared" si="3"/>
        <v>42035</v>
      </c>
      <c r="O24" s="16"/>
    </row>
    <row r="25">
      <c r="A25" s="10">
        <v>45922.0</v>
      </c>
      <c r="B25" s="11">
        <v>12500.0</v>
      </c>
      <c r="C25" s="11">
        <v>26500.0</v>
      </c>
      <c r="D25" s="13">
        <f t="shared" si="1"/>
        <v>39000</v>
      </c>
      <c r="E25" s="11"/>
      <c r="F25" s="11"/>
      <c r="G25" s="12"/>
      <c r="H25" s="12">
        <v>2200.0</v>
      </c>
      <c r="I25" s="15">
        <f t="shared" si="2"/>
        <v>41200</v>
      </c>
      <c r="M25" s="24">
        <v>9605.0</v>
      </c>
      <c r="N25" s="16">
        <f t="shared" si="3"/>
        <v>29395</v>
      </c>
      <c r="O25" s="16"/>
    </row>
    <row r="26">
      <c r="A26" s="10">
        <v>45923.0</v>
      </c>
      <c r="B26" s="11">
        <v>21000.0</v>
      </c>
      <c r="C26" s="11">
        <v>21360.0</v>
      </c>
      <c r="D26" s="13">
        <f t="shared" si="1"/>
        <v>42360</v>
      </c>
      <c r="E26" s="11"/>
      <c r="F26" s="11" t="s">
        <v>22</v>
      </c>
      <c r="G26" s="12">
        <v>10000.0</v>
      </c>
      <c r="H26" s="12">
        <v>775.0</v>
      </c>
      <c r="I26" s="15">
        <f t="shared" si="2"/>
        <v>43135</v>
      </c>
      <c r="M26" s="24">
        <v>11310.0</v>
      </c>
      <c r="N26" s="16">
        <f t="shared" si="3"/>
        <v>31050</v>
      </c>
      <c r="O26" s="16"/>
    </row>
    <row r="27">
      <c r="A27" s="10">
        <v>45924.0</v>
      </c>
      <c r="B27" s="11">
        <v>11500.0</v>
      </c>
      <c r="C27" s="11">
        <v>24500.0</v>
      </c>
      <c r="D27" s="13">
        <f t="shared" si="1"/>
        <v>36000</v>
      </c>
      <c r="E27" s="13"/>
      <c r="F27" s="11"/>
      <c r="G27" s="12"/>
      <c r="H27" s="12">
        <v>1000.0</v>
      </c>
      <c r="I27" s="15">
        <f t="shared" si="2"/>
        <v>37000</v>
      </c>
      <c r="M27" s="24">
        <v>8625.0</v>
      </c>
      <c r="N27" s="16">
        <f t="shared" si="3"/>
        <v>27375</v>
      </c>
      <c r="O27" s="16"/>
    </row>
    <row r="28">
      <c r="A28" s="10">
        <v>45925.0</v>
      </c>
      <c r="B28" s="11">
        <v>21700.0</v>
      </c>
      <c r="C28" s="11">
        <v>22500.0</v>
      </c>
      <c r="D28" s="13">
        <f t="shared" si="1"/>
        <v>44200</v>
      </c>
      <c r="E28" s="13"/>
      <c r="F28" s="13"/>
      <c r="G28" s="14"/>
      <c r="H28" s="12">
        <v>550.0</v>
      </c>
      <c r="I28" s="15">
        <f t="shared" si="2"/>
        <v>44750</v>
      </c>
      <c r="M28" s="24">
        <v>8985.0</v>
      </c>
      <c r="N28" s="16">
        <f t="shared" si="3"/>
        <v>35215</v>
      </c>
      <c r="O28" s="16"/>
    </row>
    <row r="29">
      <c r="A29" s="10">
        <v>45926.0</v>
      </c>
      <c r="B29" s="11">
        <v>16700.0</v>
      </c>
      <c r="C29" s="11">
        <v>24500.0</v>
      </c>
      <c r="D29" s="13">
        <f t="shared" si="1"/>
        <v>41200</v>
      </c>
      <c r="E29" s="13"/>
      <c r="F29" s="13"/>
      <c r="G29" s="14"/>
      <c r="H29" s="12">
        <v>2350.0</v>
      </c>
      <c r="I29" s="15">
        <f t="shared" si="2"/>
        <v>43550</v>
      </c>
      <c r="M29" s="24">
        <v>12450.0</v>
      </c>
      <c r="N29" s="16">
        <f t="shared" si="3"/>
        <v>28750</v>
      </c>
      <c r="O29" s="16"/>
    </row>
    <row r="30">
      <c r="A30" s="10">
        <v>45927.0</v>
      </c>
      <c r="B30" s="11">
        <v>15500.0</v>
      </c>
      <c r="C30" s="11">
        <v>24000.0</v>
      </c>
      <c r="D30" s="13">
        <f t="shared" si="1"/>
        <v>39500</v>
      </c>
      <c r="E30" s="11">
        <v>17000.0</v>
      </c>
      <c r="F30" s="11" t="s">
        <v>65</v>
      </c>
      <c r="G30" s="14"/>
      <c r="H30" s="12">
        <v>550.0</v>
      </c>
      <c r="I30" s="15">
        <f t="shared" si="2"/>
        <v>40050</v>
      </c>
      <c r="M30" s="24">
        <v>9055.0</v>
      </c>
      <c r="N30" s="16">
        <f t="shared" si="3"/>
        <v>30445</v>
      </c>
      <c r="O30" s="16"/>
    </row>
    <row r="31">
      <c r="A31" s="10">
        <v>45928.0</v>
      </c>
      <c r="B31" s="11">
        <v>19380.0</v>
      </c>
      <c r="C31" s="11">
        <v>33700.0</v>
      </c>
      <c r="D31" s="13">
        <f t="shared" si="1"/>
        <v>53080</v>
      </c>
      <c r="E31" s="11">
        <v>168000.0</v>
      </c>
      <c r="F31" s="11" t="s">
        <v>16</v>
      </c>
      <c r="G31" s="14"/>
      <c r="H31" s="12">
        <v>1000.0</v>
      </c>
      <c r="I31" s="15">
        <f t="shared" si="2"/>
        <v>54080</v>
      </c>
      <c r="M31" s="24">
        <v>8140.0</v>
      </c>
      <c r="N31" s="16">
        <f t="shared" si="3"/>
        <v>44940</v>
      </c>
      <c r="O31" s="16"/>
    </row>
    <row r="32">
      <c r="A32" s="10">
        <v>45929.0</v>
      </c>
      <c r="B32" s="11">
        <v>15000.0</v>
      </c>
      <c r="C32" s="11">
        <v>13550.0</v>
      </c>
      <c r="D32" s="13">
        <f t="shared" si="1"/>
        <v>28550</v>
      </c>
      <c r="E32" s="13"/>
      <c r="F32" s="11"/>
      <c r="G32" s="12"/>
      <c r="H32" s="12">
        <v>1880.0</v>
      </c>
      <c r="I32" s="15">
        <f t="shared" si="2"/>
        <v>30430</v>
      </c>
      <c r="M32" s="24">
        <v>5780.0</v>
      </c>
      <c r="N32" s="16">
        <f t="shared" si="3"/>
        <v>22770</v>
      </c>
      <c r="O32" s="16"/>
    </row>
    <row r="33">
      <c r="A33" s="10">
        <v>45930.0</v>
      </c>
      <c r="B33" s="11">
        <v>15000.0</v>
      </c>
      <c r="C33" s="11">
        <v>11670.0</v>
      </c>
      <c r="D33" s="13">
        <f t="shared" si="1"/>
        <v>26670</v>
      </c>
      <c r="E33" s="14"/>
      <c r="F33" s="12"/>
      <c r="G33" s="12"/>
      <c r="H33" s="12">
        <v>2550.0</v>
      </c>
      <c r="I33" s="15">
        <f t="shared" si="2"/>
        <v>29220</v>
      </c>
      <c r="M33" s="24">
        <v>4380.0</v>
      </c>
      <c r="N33" s="16">
        <f t="shared" si="3"/>
        <v>22290</v>
      </c>
      <c r="O33" s="16"/>
    </row>
    <row r="34">
      <c r="A34" s="10"/>
      <c r="B34" s="11"/>
      <c r="C34" s="11"/>
      <c r="D34" s="13">
        <f t="shared" si="1"/>
        <v>0</v>
      </c>
      <c r="E34" s="14"/>
      <c r="F34" s="12"/>
      <c r="G34" s="12"/>
      <c r="H34" s="12"/>
      <c r="I34" s="15">
        <f t="shared" si="2"/>
        <v>0</v>
      </c>
      <c r="M34" s="16"/>
      <c r="N34" s="16">
        <f t="shared" si="3"/>
        <v>0</v>
      </c>
      <c r="O34" s="16"/>
    </row>
    <row r="35">
      <c r="A35" s="13"/>
      <c r="B35" s="13">
        <f t="shared" ref="B35:C35" si="4">SUM(B3:B34)</f>
        <v>615580</v>
      </c>
      <c r="C35" s="13">
        <f t="shared" si="4"/>
        <v>694546</v>
      </c>
      <c r="D35" s="13">
        <f t="shared" si="1"/>
        <v>1310126</v>
      </c>
      <c r="E35" s="13">
        <f>SUM(E3:E33)</f>
        <v>530484</v>
      </c>
      <c r="F35" s="13">
        <f>E35+H40</f>
        <v>530484</v>
      </c>
      <c r="G35" s="13">
        <f t="shared" ref="G35:H35" si="5">SUM(G3:G34)</f>
        <v>18000</v>
      </c>
      <c r="H35" s="13">
        <f t="shared" si="5"/>
        <v>48370</v>
      </c>
      <c r="I35" s="15">
        <f t="shared" si="2"/>
        <v>1358496</v>
      </c>
      <c r="M35" s="16">
        <f t="shared" ref="M35:N35" si="6">SUM(M4:M34)</f>
        <v>311975</v>
      </c>
      <c r="N35" s="16">
        <f t="shared" si="6"/>
        <v>998151</v>
      </c>
      <c r="O35" s="16">
        <f>M35+N35</f>
        <v>1310126</v>
      </c>
    </row>
    <row r="53">
      <c r="G53" s="23">
        <v>195991.0</v>
      </c>
    </row>
  </sheetData>
  <mergeCells count="2">
    <mergeCell ref="A1:H2"/>
    <mergeCell ref="M3:N3"/>
  </mergeCells>
  <conditionalFormatting sqref="A4:A35">
    <cfRule type="notContainsBlanks" dxfId="0" priority="1">
      <formula>LEN(TRIM(A4))&gt;0</formula>
    </cfRule>
  </conditionalFormatting>
  <conditionalFormatting sqref="A4:A35">
    <cfRule type="expression" dxfId="0" priority="2">
      <formula>AND(ISNUMBER(A4),TRUNC(A4)&gt;TODAY())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6" max="6" width="17.5"/>
    <col customWidth="1" min="7" max="7" width="16.63"/>
    <col customWidth="1" min="8" max="8" width="16.5"/>
  </cols>
  <sheetData>
    <row r="1">
      <c r="A1" s="25" t="s">
        <v>41</v>
      </c>
      <c r="B1" s="2"/>
      <c r="C1" s="2"/>
      <c r="D1" s="2"/>
      <c r="E1" s="2"/>
      <c r="F1" s="2"/>
      <c r="G1" s="2"/>
      <c r="H1" s="2"/>
    </row>
    <row r="2">
      <c r="A2" s="3"/>
    </row>
    <row r="3">
      <c r="A3" s="26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6" t="s">
        <v>9</v>
      </c>
      <c r="G3" s="26" t="s">
        <v>10</v>
      </c>
      <c r="H3" s="26" t="s">
        <v>11</v>
      </c>
      <c r="M3" s="24" t="s">
        <v>13</v>
      </c>
    </row>
    <row r="4">
      <c r="A4" s="27">
        <v>45931.0</v>
      </c>
      <c r="B4" s="28">
        <v>14000.0</v>
      </c>
      <c r="C4" s="28">
        <v>21500.0</v>
      </c>
      <c r="D4" s="29">
        <f t="shared" ref="D4:D34" si="1">B4+C4</f>
        <v>35500</v>
      </c>
      <c r="E4" s="28">
        <v>111850.0</v>
      </c>
      <c r="F4" s="28" t="s">
        <v>13</v>
      </c>
      <c r="G4" s="30"/>
      <c r="H4" s="28">
        <v>1050.0</v>
      </c>
      <c r="M4" s="24">
        <v>8120.0</v>
      </c>
      <c r="N4" s="16">
        <f t="shared" ref="N4:N34" si="2">D4-M4</f>
        <v>27380</v>
      </c>
      <c r="O4" s="16"/>
    </row>
    <row r="5">
      <c r="A5" s="27">
        <v>45932.0</v>
      </c>
      <c r="B5" s="28">
        <v>15830.0</v>
      </c>
      <c r="C5" s="28">
        <v>24000.0</v>
      </c>
      <c r="D5" s="29">
        <f t="shared" si="1"/>
        <v>39830</v>
      </c>
      <c r="E5" s="28">
        <v>59693.0</v>
      </c>
      <c r="F5" s="28" t="s">
        <v>13</v>
      </c>
      <c r="G5" s="30"/>
      <c r="H5" s="28">
        <v>2200.0</v>
      </c>
      <c r="M5" s="24">
        <v>12060.0</v>
      </c>
      <c r="N5" s="16">
        <f t="shared" si="2"/>
        <v>27770</v>
      </c>
      <c r="O5" s="16"/>
    </row>
    <row r="6">
      <c r="A6" s="27">
        <v>45933.0</v>
      </c>
      <c r="B6" s="28">
        <v>17000.0</v>
      </c>
      <c r="C6" s="28">
        <v>22000.0</v>
      </c>
      <c r="D6" s="29">
        <f t="shared" si="1"/>
        <v>39000</v>
      </c>
      <c r="E6" s="29"/>
      <c r="F6" s="28" t="s">
        <v>48</v>
      </c>
      <c r="G6" s="28">
        <v>2000.0</v>
      </c>
      <c r="H6" s="28">
        <v>2000.0</v>
      </c>
      <c r="M6" s="24">
        <v>12640.0</v>
      </c>
      <c r="N6" s="16">
        <f t="shared" si="2"/>
        <v>26360</v>
      </c>
      <c r="O6" s="16"/>
    </row>
    <row r="7">
      <c r="A7" s="27">
        <v>45934.0</v>
      </c>
      <c r="B7" s="28">
        <v>21000.0</v>
      </c>
      <c r="C7" s="28">
        <v>31000.0</v>
      </c>
      <c r="D7" s="29">
        <f t="shared" si="1"/>
        <v>52000</v>
      </c>
      <c r="E7" s="29"/>
      <c r="F7" s="28" t="s">
        <v>50</v>
      </c>
      <c r="G7" s="28">
        <v>5000.0</v>
      </c>
      <c r="H7" s="28">
        <v>0.0</v>
      </c>
      <c r="M7" s="24">
        <v>12420.0</v>
      </c>
      <c r="N7" s="16">
        <f t="shared" si="2"/>
        <v>39580</v>
      </c>
      <c r="O7" s="16"/>
    </row>
    <row r="8">
      <c r="A8" s="27">
        <v>45935.0</v>
      </c>
      <c r="B8" s="28">
        <v>24500.0</v>
      </c>
      <c r="C8" s="28">
        <v>19750.0</v>
      </c>
      <c r="D8" s="29">
        <f t="shared" si="1"/>
        <v>44250</v>
      </c>
      <c r="E8" s="28">
        <v>82381.0</v>
      </c>
      <c r="F8" s="28" t="s">
        <v>13</v>
      </c>
      <c r="G8" s="30"/>
      <c r="H8" s="28">
        <v>0.0</v>
      </c>
      <c r="M8" s="24">
        <v>12520.0</v>
      </c>
      <c r="N8" s="16">
        <f t="shared" si="2"/>
        <v>31730</v>
      </c>
      <c r="O8" s="16"/>
    </row>
    <row r="9">
      <c r="A9" s="27">
        <v>45936.0</v>
      </c>
      <c r="B9" s="28">
        <v>13500.0</v>
      </c>
      <c r="C9" s="28">
        <v>17700.0</v>
      </c>
      <c r="D9" s="29">
        <f t="shared" si="1"/>
        <v>31200</v>
      </c>
      <c r="E9" s="28">
        <v>23095.0</v>
      </c>
      <c r="F9" s="28" t="s">
        <v>13</v>
      </c>
      <c r="G9" s="29"/>
      <c r="H9" s="28">
        <v>0.0</v>
      </c>
      <c r="M9" s="24">
        <v>6330.0</v>
      </c>
      <c r="N9" s="16">
        <f t="shared" si="2"/>
        <v>24870</v>
      </c>
      <c r="O9" s="16"/>
    </row>
    <row r="10">
      <c r="A10" s="27">
        <v>45937.0</v>
      </c>
      <c r="B10" s="28">
        <v>7800.0</v>
      </c>
      <c r="C10" s="28">
        <v>16500.0</v>
      </c>
      <c r="D10" s="29">
        <f t="shared" si="1"/>
        <v>24300</v>
      </c>
      <c r="E10" s="28">
        <v>19700.0</v>
      </c>
      <c r="F10" s="28" t="s">
        <v>52</v>
      </c>
      <c r="G10" s="30"/>
      <c r="H10" s="28">
        <v>2000.0</v>
      </c>
      <c r="M10" s="24">
        <v>5800.0</v>
      </c>
      <c r="N10" s="16">
        <f t="shared" si="2"/>
        <v>18500</v>
      </c>
      <c r="O10" s="16"/>
    </row>
    <row r="11">
      <c r="A11" s="27">
        <v>45938.0</v>
      </c>
      <c r="B11" s="28">
        <v>24350.0</v>
      </c>
      <c r="C11" s="28">
        <v>17310.0</v>
      </c>
      <c r="D11" s="29">
        <f t="shared" si="1"/>
        <v>41660</v>
      </c>
      <c r="E11" s="28">
        <v>17858.0</v>
      </c>
      <c r="F11" s="28" t="s">
        <v>54</v>
      </c>
      <c r="G11" s="30"/>
      <c r="H11" s="28">
        <v>0.0</v>
      </c>
      <c r="M11" s="24">
        <v>9490.0</v>
      </c>
      <c r="N11" s="16">
        <f t="shared" si="2"/>
        <v>32170</v>
      </c>
      <c r="O11" s="16"/>
    </row>
    <row r="12">
      <c r="A12" s="27">
        <v>45939.0</v>
      </c>
      <c r="B12" s="28">
        <v>18900.0</v>
      </c>
      <c r="C12" s="28">
        <v>20900.0</v>
      </c>
      <c r="D12" s="29">
        <f t="shared" si="1"/>
        <v>39800</v>
      </c>
      <c r="E12" s="28">
        <v>3000.0</v>
      </c>
      <c r="F12" s="28" t="s">
        <v>55</v>
      </c>
      <c r="G12" s="30"/>
      <c r="H12" s="28">
        <v>1185.0</v>
      </c>
      <c r="M12" s="24">
        <v>11370.0</v>
      </c>
      <c r="N12" s="16">
        <f t="shared" si="2"/>
        <v>28430</v>
      </c>
      <c r="O12" s="16"/>
    </row>
    <row r="13">
      <c r="A13" s="27">
        <v>45940.0</v>
      </c>
      <c r="B13" s="28">
        <v>25000.0</v>
      </c>
      <c r="C13" s="28">
        <v>27000.0</v>
      </c>
      <c r="D13" s="29">
        <f t="shared" si="1"/>
        <v>52000</v>
      </c>
      <c r="E13" s="28">
        <v>5000.0</v>
      </c>
      <c r="F13" s="28" t="s">
        <v>56</v>
      </c>
      <c r="G13" s="30"/>
      <c r="H13" s="28">
        <v>290.0</v>
      </c>
      <c r="M13" s="24">
        <v>11990.0</v>
      </c>
      <c r="N13" s="16">
        <f t="shared" si="2"/>
        <v>40010</v>
      </c>
      <c r="O13" s="16"/>
    </row>
    <row r="14">
      <c r="A14" s="27">
        <v>45941.0</v>
      </c>
      <c r="B14" s="28">
        <v>27000.0</v>
      </c>
      <c r="C14" s="28">
        <v>29900.0</v>
      </c>
      <c r="D14" s="29">
        <f t="shared" si="1"/>
        <v>56900</v>
      </c>
      <c r="E14" s="28">
        <v>102000.0</v>
      </c>
      <c r="F14" s="28" t="s">
        <v>57</v>
      </c>
      <c r="G14" s="30"/>
      <c r="H14" s="28">
        <v>0.0</v>
      </c>
      <c r="M14" s="24">
        <v>11780.0</v>
      </c>
      <c r="N14" s="16">
        <f t="shared" si="2"/>
        <v>45120</v>
      </c>
      <c r="O14" s="16"/>
    </row>
    <row r="15">
      <c r="A15" s="27">
        <v>45942.0</v>
      </c>
      <c r="B15" s="28">
        <v>18100.0</v>
      </c>
      <c r="C15" s="28">
        <v>30965.0</v>
      </c>
      <c r="D15" s="29">
        <f t="shared" si="1"/>
        <v>49065</v>
      </c>
      <c r="E15" s="28">
        <v>15000.0</v>
      </c>
      <c r="F15" s="28" t="s">
        <v>58</v>
      </c>
      <c r="G15" s="30"/>
      <c r="H15" s="28">
        <v>1200.0</v>
      </c>
      <c r="M15" s="24">
        <v>10930.0</v>
      </c>
      <c r="N15" s="16">
        <f t="shared" si="2"/>
        <v>38135</v>
      </c>
      <c r="O15" s="16"/>
    </row>
    <row r="16">
      <c r="A16" s="27">
        <v>45943.0</v>
      </c>
      <c r="B16" s="28">
        <v>30900.0</v>
      </c>
      <c r="C16" s="28">
        <v>21310.0</v>
      </c>
      <c r="D16" s="29">
        <f t="shared" si="1"/>
        <v>52210</v>
      </c>
      <c r="E16" s="29"/>
      <c r="F16" s="28" t="s">
        <v>22</v>
      </c>
      <c r="G16" s="28">
        <v>10000.0</v>
      </c>
      <c r="H16" s="28">
        <v>0.0</v>
      </c>
      <c r="M16" s="24">
        <v>10620.0</v>
      </c>
      <c r="N16" s="16">
        <f t="shared" si="2"/>
        <v>41590</v>
      </c>
      <c r="O16" s="16"/>
    </row>
    <row r="17">
      <c r="A17" s="27">
        <v>45944.0</v>
      </c>
      <c r="B17" s="28">
        <v>20500.0</v>
      </c>
      <c r="C17" s="28">
        <v>25396.0</v>
      </c>
      <c r="D17" s="29">
        <f t="shared" si="1"/>
        <v>45896</v>
      </c>
      <c r="E17" s="28">
        <v>7000.0</v>
      </c>
      <c r="F17" s="28" t="s">
        <v>62</v>
      </c>
      <c r="G17" s="30"/>
      <c r="H17" s="28">
        <v>0.0</v>
      </c>
      <c r="M17" s="24">
        <v>15300.0</v>
      </c>
      <c r="N17" s="16">
        <f t="shared" si="2"/>
        <v>30596</v>
      </c>
      <c r="O17" s="16"/>
    </row>
    <row r="18">
      <c r="A18" s="27">
        <v>45945.0</v>
      </c>
      <c r="B18" s="28">
        <v>24000.0</v>
      </c>
      <c r="C18" s="28">
        <v>29370.0</v>
      </c>
      <c r="D18" s="29">
        <f t="shared" si="1"/>
        <v>53370</v>
      </c>
      <c r="E18" s="28">
        <v>69000.0</v>
      </c>
      <c r="F18" s="28" t="s">
        <v>61</v>
      </c>
      <c r="G18" s="30"/>
      <c r="H18" s="28">
        <v>0.0</v>
      </c>
      <c r="M18" s="24">
        <v>14580.0</v>
      </c>
      <c r="N18" s="16">
        <f t="shared" si="2"/>
        <v>38790</v>
      </c>
      <c r="O18" s="16"/>
    </row>
    <row r="19">
      <c r="A19" s="27">
        <v>45946.0</v>
      </c>
      <c r="B19" s="28">
        <v>20100.0</v>
      </c>
      <c r="C19" s="28">
        <v>27500.0</v>
      </c>
      <c r="D19" s="29">
        <f t="shared" si="1"/>
        <v>47600</v>
      </c>
      <c r="E19" s="28">
        <v>11639.0</v>
      </c>
      <c r="F19" s="28" t="s">
        <v>55</v>
      </c>
      <c r="G19" s="29"/>
      <c r="H19" s="28">
        <v>0.0</v>
      </c>
      <c r="M19" s="24">
        <v>11460.0</v>
      </c>
      <c r="N19" s="16">
        <f t="shared" si="2"/>
        <v>36140</v>
      </c>
      <c r="O19" s="16"/>
    </row>
    <row r="20">
      <c r="A20" s="27">
        <v>45947.0</v>
      </c>
      <c r="B20" s="28">
        <v>20000.0</v>
      </c>
      <c r="C20" s="28">
        <v>38550.0</v>
      </c>
      <c r="D20" s="29">
        <f t="shared" si="1"/>
        <v>58550</v>
      </c>
      <c r="E20" s="28">
        <v>500.0</v>
      </c>
      <c r="F20" s="28" t="s">
        <v>66</v>
      </c>
      <c r="G20" s="28">
        <v>1500.0</v>
      </c>
      <c r="H20" s="28">
        <v>0.0</v>
      </c>
      <c r="M20" s="24">
        <v>12600.0</v>
      </c>
      <c r="N20" s="16">
        <f t="shared" si="2"/>
        <v>45950</v>
      </c>
      <c r="O20" s="16"/>
    </row>
    <row r="21">
      <c r="A21" s="27">
        <v>45948.0</v>
      </c>
      <c r="B21" s="28">
        <v>20310.0</v>
      </c>
      <c r="C21" s="28">
        <v>43707.0</v>
      </c>
      <c r="D21" s="29">
        <f t="shared" si="1"/>
        <v>64017</v>
      </c>
      <c r="E21" s="28">
        <v>6600.0</v>
      </c>
      <c r="F21" s="28" t="s">
        <v>19</v>
      </c>
      <c r="G21" s="28">
        <v>21000.0</v>
      </c>
      <c r="H21" s="29"/>
      <c r="M21" s="24">
        <v>13695.0</v>
      </c>
      <c r="N21" s="16">
        <f t="shared" si="2"/>
        <v>50322</v>
      </c>
      <c r="O21" s="16"/>
    </row>
    <row r="22">
      <c r="A22" s="27">
        <v>45949.0</v>
      </c>
      <c r="B22" s="28">
        <v>23230.0</v>
      </c>
      <c r="C22" s="28">
        <v>32500.0</v>
      </c>
      <c r="D22" s="29">
        <f t="shared" si="1"/>
        <v>55730</v>
      </c>
      <c r="E22" s="29"/>
      <c r="F22" s="28" t="s">
        <v>51</v>
      </c>
      <c r="G22" s="28">
        <v>2000.0</v>
      </c>
      <c r="H22" s="29"/>
      <c r="M22" s="24">
        <v>10280.0</v>
      </c>
      <c r="N22" s="16">
        <f t="shared" si="2"/>
        <v>45450</v>
      </c>
      <c r="O22" s="16"/>
    </row>
    <row r="23">
      <c r="A23" s="27">
        <v>45950.0</v>
      </c>
      <c r="B23" s="28">
        <v>21000.0</v>
      </c>
      <c r="C23" s="28">
        <v>21760.0</v>
      </c>
      <c r="D23" s="29">
        <f t="shared" si="1"/>
        <v>42760</v>
      </c>
      <c r="E23" s="28">
        <v>3700.0</v>
      </c>
      <c r="F23" s="28" t="s">
        <v>55</v>
      </c>
      <c r="H23" s="29"/>
      <c r="M23" s="24">
        <v>8450.0</v>
      </c>
      <c r="N23" s="16">
        <f t="shared" si="2"/>
        <v>34310</v>
      </c>
      <c r="O23" s="16"/>
    </row>
    <row r="24">
      <c r="A24" s="27">
        <v>45951.0</v>
      </c>
      <c r="B24" s="28">
        <v>20700.0</v>
      </c>
      <c r="C24" s="28">
        <v>13680.0</v>
      </c>
      <c r="D24" s="29">
        <f t="shared" si="1"/>
        <v>34380</v>
      </c>
      <c r="E24" s="28">
        <v>2500.0</v>
      </c>
      <c r="F24" s="28" t="s">
        <v>67</v>
      </c>
      <c r="G24" s="30"/>
      <c r="H24" s="29"/>
      <c r="M24" s="24">
        <v>9685.0</v>
      </c>
      <c r="N24" s="16">
        <f t="shared" si="2"/>
        <v>24695</v>
      </c>
      <c r="O24" s="16"/>
    </row>
    <row r="25">
      <c r="A25" s="27">
        <v>45952.0</v>
      </c>
      <c r="B25" s="28">
        <v>20900.0</v>
      </c>
      <c r="C25" s="28">
        <v>27674.0</v>
      </c>
      <c r="D25" s="29">
        <f t="shared" si="1"/>
        <v>48574</v>
      </c>
      <c r="E25" s="28">
        <v>20000.0</v>
      </c>
      <c r="F25" s="28" t="s">
        <v>68</v>
      </c>
      <c r="G25" s="30"/>
      <c r="H25" s="28">
        <v>350.0</v>
      </c>
      <c r="M25" s="24">
        <v>15895.0</v>
      </c>
      <c r="N25" s="16">
        <f t="shared" si="2"/>
        <v>32679</v>
      </c>
      <c r="O25" s="16"/>
    </row>
    <row r="26">
      <c r="A26" s="27">
        <v>45953.0</v>
      </c>
      <c r="B26" s="28">
        <v>18000.0</v>
      </c>
      <c r="C26" s="28">
        <v>21580.0</v>
      </c>
      <c r="D26" s="29">
        <f t="shared" si="1"/>
        <v>39580</v>
      </c>
      <c r="E26" s="28">
        <v>78000.0</v>
      </c>
      <c r="F26" s="28" t="s">
        <v>61</v>
      </c>
      <c r="G26" s="29"/>
      <c r="H26" s="28">
        <v>1000.0</v>
      </c>
      <c r="M26" s="24">
        <v>9850.0</v>
      </c>
      <c r="N26" s="16">
        <f t="shared" si="2"/>
        <v>29730</v>
      </c>
      <c r="O26" s="16"/>
    </row>
    <row r="27">
      <c r="A27" s="27">
        <v>45954.0</v>
      </c>
      <c r="B27" s="28">
        <v>13600.0</v>
      </c>
      <c r="C27" s="28">
        <v>27590.0</v>
      </c>
      <c r="D27" s="29">
        <f t="shared" si="1"/>
        <v>41190</v>
      </c>
      <c r="E27" s="28">
        <v>5000.0</v>
      </c>
      <c r="F27" s="28" t="s">
        <v>61</v>
      </c>
      <c r="G27" s="30"/>
      <c r="H27" s="28">
        <v>2400.0</v>
      </c>
      <c r="M27" s="24">
        <v>8760.0</v>
      </c>
      <c r="N27" s="16">
        <f t="shared" si="2"/>
        <v>32430</v>
      </c>
      <c r="O27" s="16"/>
    </row>
    <row r="28">
      <c r="A28" s="27">
        <v>45955.0</v>
      </c>
      <c r="B28" s="28">
        <v>25350.0</v>
      </c>
      <c r="C28" s="28">
        <v>26949.0</v>
      </c>
      <c r="D28" s="29">
        <f t="shared" si="1"/>
        <v>52299</v>
      </c>
      <c r="E28" s="28">
        <v>66710.0</v>
      </c>
      <c r="F28" s="28" t="s">
        <v>16</v>
      </c>
      <c r="G28" s="28">
        <v>72000.0</v>
      </c>
      <c r="H28" s="29"/>
      <c r="M28" s="24">
        <v>12320.0</v>
      </c>
      <c r="N28" s="16">
        <f t="shared" si="2"/>
        <v>39979</v>
      </c>
      <c r="O28" s="16"/>
    </row>
    <row r="29">
      <c r="A29" s="27">
        <v>45956.0</v>
      </c>
      <c r="B29" s="28">
        <v>10500.0</v>
      </c>
      <c r="C29" s="28">
        <v>30530.0</v>
      </c>
      <c r="D29" s="29">
        <f t="shared" si="1"/>
        <v>41030</v>
      </c>
      <c r="E29" s="30"/>
      <c r="F29" s="30"/>
      <c r="G29" s="30"/>
      <c r="H29" s="28">
        <v>600.0</v>
      </c>
      <c r="M29" s="24">
        <v>8720.0</v>
      </c>
      <c r="N29" s="16">
        <f t="shared" si="2"/>
        <v>32310</v>
      </c>
      <c r="O29" s="16"/>
    </row>
    <row r="30">
      <c r="A30" s="27">
        <v>45957.0</v>
      </c>
      <c r="B30" s="28">
        <v>16700.0</v>
      </c>
      <c r="C30" s="28">
        <v>15540.0</v>
      </c>
      <c r="D30" s="29">
        <f t="shared" si="1"/>
        <v>32240</v>
      </c>
      <c r="E30" s="30"/>
      <c r="F30" s="29"/>
      <c r="G30" s="29"/>
      <c r="H30" s="29"/>
      <c r="M30" s="24">
        <v>5425.0</v>
      </c>
      <c r="N30" s="16">
        <f t="shared" si="2"/>
        <v>26815</v>
      </c>
      <c r="O30" s="16"/>
    </row>
    <row r="31">
      <c r="A31" s="27">
        <v>45958.0</v>
      </c>
      <c r="B31" s="28">
        <v>14090.0</v>
      </c>
      <c r="C31" s="28">
        <v>22750.0</v>
      </c>
      <c r="D31" s="29">
        <f t="shared" si="1"/>
        <v>36840</v>
      </c>
      <c r="E31" s="30"/>
      <c r="F31" s="29"/>
      <c r="G31" s="29"/>
      <c r="H31" s="29"/>
      <c r="M31" s="24">
        <v>10555.0</v>
      </c>
      <c r="N31" s="16">
        <f t="shared" si="2"/>
        <v>26285</v>
      </c>
      <c r="O31" s="16"/>
    </row>
    <row r="32">
      <c r="A32" s="27">
        <v>45959.0</v>
      </c>
      <c r="B32" s="28">
        <v>18090.0</v>
      </c>
      <c r="C32" s="28">
        <v>19750.0</v>
      </c>
      <c r="D32" s="29">
        <f t="shared" si="1"/>
        <v>37840</v>
      </c>
      <c r="E32" s="30"/>
      <c r="F32" s="30"/>
      <c r="G32" s="30"/>
      <c r="H32" s="29"/>
      <c r="M32" s="24">
        <v>9730.0</v>
      </c>
      <c r="N32" s="16">
        <f t="shared" si="2"/>
        <v>28110</v>
      </c>
      <c r="O32" s="16"/>
    </row>
    <row r="33">
      <c r="A33" s="27">
        <v>45960.0</v>
      </c>
      <c r="B33" s="28">
        <v>17530.0</v>
      </c>
      <c r="C33" s="28">
        <v>20135.0</v>
      </c>
      <c r="D33" s="29">
        <f t="shared" si="1"/>
        <v>37665</v>
      </c>
      <c r="E33" s="30"/>
      <c r="F33" s="30"/>
      <c r="G33" s="30"/>
      <c r="H33" s="29"/>
      <c r="M33" s="24">
        <v>5130.0</v>
      </c>
      <c r="N33" s="16">
        <f t="shared" si="2"/>
        <v>32535</v>
      </c>
      <c r="O33" s="16"/>
    </row>
    <row r="34">
      <c r="A34" s="27">
        <v>45961.0</v>
      </c>
      <c r="B34" s="28">
        <v>17000.0</v>
      </c>
      <c r="C34" s="28">
        <v>30710.0</v>
      </c>
      <c r="D34" s="29">
        <f t="shared" si="1"/>
        <v>47710</v>
      </c>
      <c r="E34" s="29"/>
      <c r="F34" s="29"/>
      <c r="G34" s="30"/>
      <c r="H34" s="29"/>
      <c r="M34" s="24">
        <v>8560.0</v>
      </c>
      <c r="N34" s="16">
        <f t="shared" si="2"/>
        <v>39150</v>
      </c>
      <c r="O34" s="16"/>
    </row>
    <row r="35">
      <c r="A35" s="30"/>
      <c r="B35" s="29">
        <f t="shared" ref="B35:H35" si="3">SUM(B4:B34)</f>
        <v>599480</v>
      </c>
      <c r="C35" s="29">
        <f t="shared" si="3"/>
        <v>775506</v>
      </c>
      <c r="D35" s="29">
        <f t="shared" si="3"/>
        <v>1374986</v>
      </c>
      <c r="E35" s="29">
        <f t="shared" si="3"/>
        <v>710226</v>
      </c>
      <c r="F35" s="29">
        <f t="shared" si="3"/>
        <v>0</v>
      </c>
      <c r="G35" s="29">
        <f t="shared" si="3"/>
        <v>113500</v>
      </c>
      <c r="H35" s="29">
        <f t="shared" si="3"/>
        <v>14275</v>
      </c>
      <c r="M35" s="16">
        <f t="shared" ref="M35:N35" si="4">SUM(M4:M34)</f>
        <v>327065</v>
      </c>
      <c r="N35" s="16">
        <f t="shared" si="4"/>
        <v>1047921</v>
      </c>
      <c r="O35" s="16">
        <f>M35+N35</f>
        <v>1374986</v>
      </c>
    </row>
    <row r="36">
      <c r="A36" s="31"/>
      <c r="B36" s="31"/>
      <c r="C36" s="31"/>
      <c r="D36" s="31"/>
      <c r="E36" s="31"/>
      <c r="F36" s="32">
        <f>E35+G35</f>
        <v>823726</v>
      </c>
      <c r="G36" s="31"/>
      <c r="H36" s="31"/>
    </row>
    <row r="37">
      <c r="C37" s="15">
        <f>B35-G35</f>
        <v>485980</v>
      </c>
    </row>
    <row r="40">
      <c r="A40" s="23">
        <v>12050.0</v>
      </c>
      <c r="B40" s="23">
        <v>26250.0</v>
      </c>
      <c r="D40" s="23">
        <v>4810.0</v>
      </c>
      <c r="E40" s="24">
        <v>12050.0</v>
      </c>
    </row>
    <row r="53">
      <c r="G53" s="23">
        <v>223508.0</v>
      </c>
    </row>
  </sheetData>
  <mergeCells count="2">
    <mergeCell ref="A1:H2"/>
    <mergeCell ref="M3:N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25"/>
    <col customWidth="1" min="7" max="7" width="18.38"/>
    <col customWidth="1" min="8" max="8" width="20.75"/>
  </cols>
  <sheetData>
    <row r="1">
      <c r="A1" s="25" t="s">
        <v>44</v>
      </c>
      <c r="B1" s="2"/>
      <c r="C1" s="2"/>
      <c r="D1" s="2"/>
      <c r="E1" s="2"/>
      <c r="F1" s="2"/>
      <c r="G1" s="2"/>
      <c r="H1" s="2"/>
    </row>
    <row r="2">
      <c r="A2" s="3"/>
    </row>
    <row r="3">
      <c r="A3" s="26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6" t="s">
        <v>9</v>
      </c>
      <c r="G3" s="26" t="s">
        <v>10</v>
      </c>
      <c r="H3" s="26" t="s">
        <v>11</v>
      </c>
      <c r="M3" s="24" t="s">
        <v>13</v>
      </c>
    </row>
    <row r="4">
      <c r="A4" s="27">
        <v>45962.0</v>
      </c>
      <c r="B4" s="28">
        <v>12050.0</v>
      </c>
      <c r="C4" s="28">
        <v>26250.0</v>
      </c>
      <c r="D4" s="29">
        <f t="shared" ref="D4:D34" si="1">B4+C4</f>
        <v>38300</v>
      </c>
      <c r="E4" s="28"/>
      <c r="F4" s="28" t="s">
        <v>14</v>
      </c>
      <c r="G4" s="28">
        <v>3050.0</v>
      </c>
      <c r="H4" s="28"/>
      <c r="M4" s="24">
        <v>4810.0</v>
      </c>
      <c r="N4" s="16">
        <f t="shared" ref="N4:N34" si="2">D4-M4</f>
        <v>33490</v>
      </c>
      <c r="O4" s="16"/>
    </row>
    <row r="5">
      <c r="A5" s="27">
        <v>45963.0</v>
      </c>
      <c r="B5" s="28">
        <v>24900.0</v>
      </c>
      <c r="C5" s="28">
        <v>16320.0</v>
      </c>
      <c r="D5" s="29">
        <f t="shared" si="1"/>
        <v>41220</v>
      </c>
      <c r="E5" s="28"/>
      <c r="F5" s="28" t="s">
        <v>14</v>
      </c>
      <c r="G5" s="28">
        <v>5000.0</v>
      </c>
      <c r="H5" s="28"/>
      <c r="M5" s="24">
        <v>5630.0</v>
      </c>
      <c r="N5" s="16">
        <f t="shared" si="2"/>
        <v>35590</v>
      </c>
      <c r="O5" s="16"/>
    </row>
    <row r="6">
      <c r="A6" s="27">
        <v>45964.0</v>
      </c>
      <c r="B6" s="28">
        <v>16700.0</v>
      </c>
      <c r="C6" s="28">
        <v>17760.0</v>
      </c>
      <c r="D6" s="29">
        <f t="shared" si="1"/>
        <v>34460</v>
      </c>
      <c r="E6" s="28">
        <v>48190.0</v>
      </c>
      <c r="F6" s="28" t="s">
        <v>13</v>
      </c>
      <c r="G6" s="28"/>
      <c r="H6" s="28"/>
      <c r="M6" s="24">
        <v>5860.0</v>
      </c>
      <c r="N6" s="16">
        <f t="shared" si="2"/>
        <v>28600</v>
      </c>
      <c r="O6" s="16"/>
    </row>
    <row r="7">
      <c r="A7" s="27">
        <v>45965.0</v>
      </c>
      <c r="B7" s="28">
        <v>13900.0</v>
      </c>
      <c r="C7" s="28">
        <v>12090.0</v>
      </c>
      <c r="D7" s="29">
        <f t="shared" si="1"/>
        <v>25990</v>
      </c>
      <c r="E7" s="28">
        <v>76333.0</v>
      </c>
      <c r="F7" s="28" t="s">
        <v>13</v>
      </c>
      <c r="G7" s="28"/>
      <c r="H7" s="28"/>
      <c r="M7" s="24">
        <v>7470.0</v>
      </c>
      <c r="N7" s="16">
        <f t="shared" si="2"/>
        <v>18520</v>
      </c>
      <c r="O7" s="16"/>
    </row>
    <row r="8">
      <c r="A8" s="27">
        <v>45966.0</v>
      </c>
      <c r="B8" s="28">
        <v>16000.0</v>
      </c>
      <c r="C8" s="28">
        <v>13760.0</v>
      </c>
      <c r="D8" s="29">
        <f t="shared" si="1"/>
        <v>29760</v>
      </c>
      <c r="E8" s="28">
        <v>6300.0</v>
      </c>
      <c r="F8" s="28" t="s">
        <v>53</v>
      </c>
      <c r="G8" s="29"/>
      <c r="H8" s="28"/>
      <c r="M8" s="24">
        <v>8005.0</v>
      </c>
      <c r="N8" s="16">
        <f t="shared" si="2"/>
        <v>21755</v>
      </c>
      <c r="O8" s="16"/>
    </row>
    <row r="9">
      <c r="A9" s="27">
        <v>45967.0</v>
      </c>
      <c r="B9" s="28">
        <v>12650.0</v>
      </c>
      <c r="C9" s="28">
        <v>13920.0</v>
      </c>
      <c r="D9" s="29">
        <f t="shared" si="1"/>
        <v>26570</v>
      </c>
      <c r="E9" s="28"/>
      <c r="F9" s="28" t="s">
        <v>51</v>
      </c>
      <c r="G9" s="28">
        <v>5000.0</v>
      </c>
      <c r="H9" s="28">
        <v>300.0</v>
      </c>
      <c r="M9" s="24">
        <v>5690.0</v>
      </c>
      <c r="N9" s="16">
        <f t="shared" si="2"/>
        <v>20880</v>
      </c>
      <c r="O9" s="16"/>
    </row>
    <row r="10">
      <c r="A10" s="27">
        <v>45968.0</v>
      </c>
      <c r="B10" s="28">
        <v>15250.0</v>
      </c>
      <c r="C10" s="28">
        <v>12130.0</v>
      </c>
      <c r="D10" s="29">
        <f t="shared" si="1"/>
        <v>27380</v>
      </c>
      <c r="E10" s="28">
        <v>41400.0</v>
      </c>
      <c r="F10" s="28" t="s">
        <v>13</v>
      </c>
      <c r="G10" s="29"/>
      <c r="H10" s="28">
        <v>2000.0</v>
      </c>
      <c r="M10" s="24">
        <v>9445.0</v>
      </c>
      <c r="N10" s="16">
        <f t="shared" si="2"/>
        <v>17935</v>
      </c>
      <c r="O10" s="16"/>
    </row>
    <row r="11">
      <c r="A11" s="27">
        <v>45969.0</v>
      </c>
      <c r="B11" s="28">
        <v>14800.0</v>
      </c>
      <c r="C11" s="28">
        <v>25720.0</v>
      </c>
      <c r="D11" s="29">
        <f t="shared" si="1"/>
        <v>40520</v>
      </c>
      <c r="E11" s="28">
        <v>18158.0</v>
      </c>
      <c r="F11" s="28" t="s">
        <v>13</v>
      </c>
      <c r="G11" s="29"/>
      <c r="H11" s="28">
        <v>1200.0</v>
      </c>
      <c r="M11" s="24">
        <v>10230.0</v>
      </c>
      <c r="N11" s="16">
        <f t="shared" si="2"/>
        <v>30290</v>
      </c>
      <c r="O11" s="16"/>
    </row>
    <row r="12">
      <c r="A12" s="27">
        <v>45970.0</v>
      </c>
      <c r="B12" s="28">
        <v>25500.0</v>
      </c>
      <c r="C12" s="28">
        <v>21100.0</v>
      </c>
      <c r="D12" s="29">
        <f t="shared" si="1"/>
        <v>46600</v>
      </c>
      <c r="E12" s="28">
        <v>45000.0</v>
      </c>
      <c r="F12" s="28" t="s">
        <v>60</v>
      </c>
      <c r="G12" s="29"/>
      <c r="H12" s="28">
        <v>650.0</v>
      </c>
      <c r="M12" s="24">
        <v>11920.0</v>
      </c>
      <c r="N12" s="16">
        <f t="shared" si="2"/>
        <v>34680</v>
      </c>
      <c r="O12" s="16"/>
    </row>
    <row r="13">
      <c r="A13" s="27">
        <v>45971.0</v>
      </c>
      <c r="B13" s="28">
        <v>21300.0</v>
      </c>
      <c r="C13" s="28">
        <v>18940.0</v>
      </c>
      <c r="D13" s="29">
        <f t="shared" si="1"/>
        <v>40240</v>
      </c>
      <c r="E13" s="28">
        <v>8000.0</v>
      </c>
      <c r="F13" s="28" t="s">
        <v>61</v>
      </c>
      <c r="G13" s="29"/>
      <c r="H13" s="28"/>
      <c r="M13" s="24">
        <v>10800.0</v>
      </c>
      <c r="N13" s="16">
        <f t="shared" si="2"/>
        <v>29440</v>
      </c>
      <c r="O13" s="16"/>
    </row>
    <row r="14">
      <c r="A14" s="27">
        <v>45972.0</v>
      </c>
      <c r="B14" s="28">
        <v>19500.0</v>
      </c>
      <c r="C14" s="28">
        <v>19320.0</v>
      </c>
      <c r="D14" s="29">
        <f t="shared" si="1"/>
        <v>38820</v>
      </c>
      <c r="E14" s="28">
        <v>4700.0</v>
      </c>
      <c r="F14" s="28" t="s">
        <v>63</v>
      </c>
      <c r="G14" s="29"/>
      <c r="H14" s="28"/>
      <c r="M14" s="24">
        <v>9535.0</v>
      </c>
      <c r="N14" s="16">
        <f t="shared" si="2"/>
        <v>29285</v>
      </c>
      <c r="O14" s="16"/>
    </row>
    <row r="15">
      <c r="A15" s="27">
        <v>45973.0</v>
      </c>
      <c r="B15" s="28">
        <v>15860.0</v>
      </c>
      <c r="C15" s="28">
        <v>18822.0</v>
      </c>
      <c r="D15" s="29">
        <f t="shared" si="1"/>
        <v>34682</v>
      </c>
      <c r="E15" s="28">
        <v>82000.0</v>
      </c>
      <c r="F15" s="28" t="s">
        <v>14</v>
      </c>
      <c r="G15" s="29"/>
      <c r="H15" s="28">
        <v>2750.0</v>
      </c>
      <c r="M15" s="24">
        <v>8100.0</v>
      </c>
      <c r="N15" s="16">
        <f t="shared" si="2"/>
        <v>26582</v>
      </c>
      <c r="O15" s="16"/>
    </row>
    <row r="16">
      <c r="A16" s="27">
        <v>45974.0</v>
      </c>
      <c r="B16" s="28">
        <v>16780.0</v>
      </c>
      <c r="C16" s="28">
        <v>9880.0</v>
      </c>
      <c r="D16" s="29">
        <f t="shared" si="1"/>
        <v>26660</v>
      </c>
      <c r="E16" s="28">
        <v>30000.0</v>
      </c>
      <c r="F16" s="28" t="s">
        <v>14</v>
      </c>
      <c r="G16" s="28"/>
      <c r="H16" s="28"/>
      <c r="M16" s="24">
        <v>7020.0</v>
      </c>
      <c r="N16" s="16">
        <f t="shared" si="2"/>
        <v>19640</v>
      </c>
      <c r="O16" s="16"/>
    </row>
    <row r="17">
      <c r="A17" s="27">
        <v>45975.0</v>
      </c>
      <c r="B17" s="28">
        <v>9900.0</v>
      </c>
      <c r="C17" s="28">
        <v>26190.0</v>
      </c>
      <c r="D17" s="29">
        <f t="shared" si="1"/>
        <v>36090</v>
      </c>
      <c r="E17" s="28"/>
      <c r="F17" s="28"/>
      <c r="G17" s="29"/>
      <c r="H17" s="28"/>
      <c r="M17" s="24">
        <v>9110.0</v>
      </c>
      <c r="N17" s="16">
        <f t="shared" si="2"/>
        <v>26980</v>
      </c>
      <c r="O17" s="16"/>
    </row>
    <row r="18">
      <c r="A18" s="27">
        <v>45976.0</v>
      </c>
      <c r="B18" s="28">
        <v>16280.0</v>
      </c>
      <c r="C18" s="28">
        <v>17170.0</v>
      </c>
      <c r="D18" s="29">
        <f t="shared" si="1"/>
        <v>33450</v>
      </c>
      <c r="E18" s="28"/>
      <c r="F18" s="28"/>
      <c r="G18" s="29"/>
      <c r="H18" s="28"/>
      <c r="M18" s="24">
        <v>8670.0</v>
      </c>
      <c r="N18" s="16">
        <f t="shared" si="2"/>
        <v>24780</v>
      </c>
      <c r="O18" s="16"/>
    </row>
    <row r="19">
      <c r="A19" s="27">
        <v>45977.0</v>
      </c>
      <c r="B19" s="28">
        <v>18250.0</v>
      </c>
      <c r="C19" s="28">
        <v>16435.0</v>
      </c>
      <c r="D19" s="29">
        <f t="shared" si="1"/>
        <v>34685</v>
      </c>
      <c r="E19" s="28"/>
      <c r="F19" s="28"/>
      <c r="G19" s="29"/>
      <c r="H19" s="28"/>
      <c r="M19" s="24">
        <v>8600.0</v>
      </c>
      <c r="N19" s="16">
        <f t="shared" si="2"/>
        <v>26085</v>
      </c>
      <c r="O19" s="16"/>
    </row>
    <row r="20">
      <c r="A20" s="27">
        <v>45978.0</v>
      </c>
      <c r="B20" s="28">
        <v>15500.0</v>
      </c>
      <c r="C20" s="28">
        <v>14125.0</v>
      </c>
      <c r="D20" s="29">
        <f t="shared" si="1"/>
        <v>29625</v>
      </c>
      <c r="E20" s="28"/>
      <c r="F20" s="28"/>
      <c r="G20" s="28"/>
      <c r="H20" s="28"/>
      <c r="M20" s="24">
        <v>6085.0</v>
      </c>
      <c r="N20" s="16">
        <f t="shared" si="2"/>
        <v>23540</v>
      </c>
      <c r="O20" s="16"/>
    </row>
    <row r="21">
      <c r="A21" s="27">
        <v>45979.0</v>
      </c>
      <c r="B21" s="28">
        <v>16610.0</v>
      </c>
      <c r="C21" s="28">
        <v>10180.0</v>
      </c>
      <c r="D21" s="29">
        <f t="shared" si="1"/>
        <v>26790</v>
      </c>
      <c r="E21" s="28"/>
      <c r="F21" s="28"/>
      <c r="G21" s="28"/>
      <c r="H21" s="29"/>
      <c r="M21" s="24">
        <v>6230.0</v>
      </c>
      <c r="N21" s="16">
        <f t="shared" si="2"/>
        <v>20560</v>
      </c>
      <c r="O21" s="16"/>
    </row>
    <row r="22">
      <c r="A22" s="27">
        <v>45980.0</v>
      </c>
      <c r="B22" s="28">
        <v>16130.0</v>
      </c>
      <c r="C22" s="28">
        <v>17370.0</v>
      </c>
      <c r="D22" s="29">
        <f t="shared" si="1"/>
        <v>33500</v>
      </c>
      <c r="E22" s="29"/>
      <c r="F22" s="28"/>
      <c r="G22" s="28"/>
      <c r="H22" s="28">
        <v>1800.0</v>
      </c>
      <c r="M22" s="24">
        <v>9200.0</v>
      </c>
      <c r="N22" s="16">
        <f t="shared" si="2"/>
        <v>24300</v>
      </c>
      <c r="O22" s="16"/>
    </row>
    <row r="23">
      <c r="A23" s="27">
        <v>45981.0</v>
      </c>
      <c r="B23" s="28">
        <v>17196.0</v>
      </c>
      <c r="C23" s="28">
        <v>16226.0</v>
      </c>
      <c r="D23" s="29">
        <f t="shared" si="1"/>
        <v>33422</v>
      </c>
      <c r="E23" s="28"/>
      <c r="F23" s="28"/>
      <c r="G23" s="16"/>
      <c r="H23" s="29"/>
      <c r="M23" s="24">
        <v>9240.0</v>
      </c>
      <c r="N23" s="16">
        <f t="shared" si="2"/>
        <v>24182</v>
      </c>
      <c r="O23" s="16"/>
    </row>
    <row r="24">
      <c r="A24" s="27">
        <v>45982.0</v>
      </c>
      <c r="B24" s="28">
        <v>15900.0</v>
      </c>
      <c r="C24" s="28">
        <v>14550.0</v>
      </c>
      <c r="D24" s="29">
        <f t="shared" si="1"/>
        <v>30450</v>
      </c>
      <c r="E24" s="28"/>
      <c r="F24" s="28"/>
      <c r="G24" s="29"/>
      <c r="H24" s="28">
        <v>250.0</v>
      </c>
      <c r="M24" s="24">
        <v>6597.0</v>
      </c>
      <c r="N24" s="16">
        <f t="shared" si="2"/>
        <v>23853</v>
      </c>
      <c r="O24" s="16"/>
    </row>
    <row r="25">
      <c r="A25" s="27">
        <v>45983.0</v>
      </c>
      <c r="B25" s="28">
        <v>13600.0</v>
      </c>
      <c r="C25" s="28">
        <v>13050.0</v>
      </c>
      <c r="D25" s="29">
        <f t="shared" si="1"/>
        <v>26650</v>
      </c>
      <c r="E25" s="28"/>
      <c r="F25" s="28"/>
      <c r="G25" s="29"/>
      <c r="H25" s="28"/>
      <c r="M25" s="24">
        <v>5870.0</v>
      </c>
      <c r="N25" s="16">
        <f t="shared" si="2"/>
        <v>20780</v>
      </c>
      <c r="O25" s="16"/>
    </row>
    <row r="26">
      <c r="A26" s="27">
        <v>45984.0</v>
      </c>
      <c r="B26" s="28">
        <v>17300.0</v>
      </c>
      <c r="C26" s="28">
        <v>11860.0</v>
      </c>
      <c r="D26" s="29">
        <f t="shared" si="1"/>
        <v>29160</v>
      </c>
      <c r="E26" s="28"/>
      <c r="F26" s="28"/>
      <c r="G26" s="29"/>
      <c r="H26" s="28"/>
      <c r="M26" s="24">
        <v>5140.0</v>
      </c>
      <c r="N26" s="16">
        <f t="shared" si="2"/>
        <v>24020</v>
      </c>
      <c r="O26" s="16"/>
    </row>
    <row r="27">
      <c r="A27" s="27">
        <v>45985.0</v>
      </c>
      <c r="B27" s="28">
        <v>16860.0</v>
      </c>
      <c r="C27" s="28">
        <v>12729.0</v>
      </c>
      <c r="D27" s="29">
        <f t="shared" si="1"/>
        <v>29589</v>
      </c>
      <c r="E27" s="28"/>
      <c r="F27" s="28"/>
      <c r="G27" s="29"/>
      <c r="H27" s="28"/>
      <c r="M27" s="24">
        <v>6060.0</v>
      </c>
      <c r="N27" s="16">
        <f t="shared" si="2"/>
        <v>23529</v>
      </c>
      <c r="O27" s="16"/>
    </row>
    <row r="28">
      <c r="A28" s="27">
        <v>45986.0</v>
      </c>
      <c r="B28" s="28">
        <v>10720.0</v>
      </c>
      <c r="C28" s="28">
        <v>12270.0</v>
      </c>
      <c r="D28" s="29">
        <f t="shared" si="1"/>
        <v>22990</v>
      </c>
      <c r="E28" s="28"/>
      <c r="F28" s="28"/>
      <c r="G28" s="28"/>
      <c r="H28" s="28">
        <v>3500.0</v>
      </c>
      <c r="M28" s="24">
        <v>7400.0</v>
      </c>
      <c r="N28" s="16">
        <f t="shared" si="2"/>
        <v>15590</v>
      </c>
      <c r="O28" s="16"/>
    </row>
    <row r="29">
      <c r="A29" s="27">
        <v>45987.0</v>
      </c>
      <c r="B29" s="28">
        <v>15500.0</v>
      </c>
      <c r="C29" s="28">
        <v>12720.0</v>
      </c>
      <c r="D29" s="29">
        <f t="shared" si="1"/>
        <v>28220</v>
      </c>
      <c r="E29" s="30"/>
      <c r="F29" s="30"/>
      <c r="G29" s="29"/>
      <c r="H29" s="28">
        <v>225.0</v>
      </c>
      <c r="M29" s="24">
        <v>9230.0</v>
      </c>
      <c r="N29" s="16">
        <f t="shared" si="2"/>
        <v>18990</v>
      </c>
      <c r="O29" s="16"/>
    </row>
    <row r="30">
      <c r="A30" s="27">
        <v>45988.0</v>
      </c>
      <c r="B30" s="28">
        <v>10280.0</v>
      </c>
      <c r="C30" s="28">
        <v>16705.0</v>
      </c>
      <c r="D30" s="29">
        <f t="shared" si="1"/>
        <v>26985</v>
      </c>
      <c r="E30" s="30"/>
      <c r="F30" s="29"/>
      <c r="G30" s="29"/>
      <c r="H30" s="29"/>
      <c r="M30" s="24">
        <v>5280.0</v>
      </c>
      <c r="N30" s="16">
        <f t="shared" si="2"/>
        <v>21705</v>
      </c>
      <c r="O30" s="16"/>
    </row>
    <row r="31">
      <c r="A31" s="27">
        <v>45989.0</v>
      </c>
      <c r="B31" s="28">
        <v>10930.0</v>
      </c>
      <c r="C31" s="28">
        <v>15560.0</v>
      </c>
      <c r="D31" s="29">
        <f t="shared" si="1"/>
        <v>26490</v>
      </c>
      <c r="E31" s="30"/>
      <c r="F31" s="29"/>
      <c r="G31" s="29"/>
      <c r="H31" s="29"/>
      <c r="M31" s="24">
        <v>5910.0</v>
      </c>
      <c r="N31" s="16">
        <f t="shared" si="2"/>
        <v>20580</v>
      </c>
      <c r="O31" s="16"/>
    </row>
    <row r="32">
      <c r="A32" s="27">
        <v>45990.0</v>
      </c>
      <c r="B32" s="28">
        <v>13800.0</v>
      </c>
      <c r="C32" s="28">
        <v>14940.0</v>
      </c>
      <c r="D32" s="29">
        <f t="shared" si="1"/>
        <v>28740</v>
      </c>
      <c r="E32" s="30"/>
      <c r="F32" s="30"/>
      <c r="G32" s="29"/>
      <c r="H32" s="29"/>
      <c r="M32" s="24">
        <v>6540.0</v>
      </c>
      <c r="N32" s="16">
        <f t="shared" si="2"/>
        <v>22200</v>
      </c>
      <c r="O32" s="16"/>
    </row>
    <row r="33">
      <c r="A33" s="27">
        <v>45991.0</v>
      </c>
      <c r="B33" s="28">
        <v>13720.0</v>
      </c>
      <c r="C33" s="28">
        <v>18155.0</v>
      </c>
      <c r="D33" s="29">
        <f t="shared" si="1"/>
        <v>31875</v>
      </c>
      <c r="E33" s="30"/>
      <c r="F33" s="30"/>
      <c r="G33" s="29"/>
      <c r="H33" s="29"/>
      <c r="M33" s="24">
        <v>7070.0</v>
      </c>
      <c r="N33" s="16">
        <f t="shared" si="2"/>
        <v>24805</v>
      </c>
      <c r="O33" s="16"/>
    </row>
    <row r="34">
      <c r="A34" s="27"/>
      <c r="B34" s="28"/>
      <c r="C34" s="28"/>
      <c r="D34" s="29">
        <f t="shared" si="1"/>
        <v>0</v>
      </c>
      <c r="E34" s="29"/>
      <c r="F34" s="29"/>
      <c r="G34" s="29"/>
      <c r="H34" s="29"/>
      <c r="M34" s="24"/>
      <c r="N34" s="16">
        <f t="shared" si="2"/>
        <v>0</v>
      </c>
      <c r="O34" s="16"/>
    </row>
    <row r="35">
      <c r="A35" s="30"/>
      <c r="B35" s="29">
        <f t="shared" ref="B35:H35" si="3">SUM(B4:B34)</f>
        <v>473666</v>
      </c>
      <c r="C35" s="29">
        <f t="shared" si="3"/>
        <v>486247</v>
      </c>
      <c r="D35" s="29">
        <f t="shared" si="3"/>
        <v>959913</v>
      </c>
      <c r="E35" s="29">
        <f t="shared" si="3"/>
        <v>360081</v>
      </c>
      <c r="F35" s="29">
        <f t="shared" si="3"/>
        <v>0</v>
      </c>
      <c r="G35" s="29">
        <f t="shared" si="3"/>
        <v>13050</v>
      </c>
      <c r="H35" s="29">
        <f t="shared" si="3"/>
        <v>12675</v>
      </c>
      <c r="M35" s="16">
        <f t="shared" ref="M35:N35" si="4">SUM(M4:M34)</f>
        <v>226747</v>
      </c>
      <c r="N35" s="16">
        <f t="shared" si="4"/>
        <v>733166</v>
      </c>
      <c r="O35" s="16">
        <f>M35+N35</f>
        <v>959913</v>
      </c>
    </row>
    <row r="36">
      <c r="A36" s="31"/>
      <c r="B36" s="31"/>
      <c r="C36" s="31"/>
      <c r="D36" s="31"/>
      <c r="E36" s="31"/>
      <c r="F36" s="32">
        <f>E35+G35</f>
        <v>373131</v>
      </c>
      <c r="G36" s="31"/>
      <c r="H36" s="31"/>
    </row>
    <row r="37">
      <c r="C37" s="15">
        <f>B35-G35</f>
        <v>460616</v>
      </c>
    </row>
    <row r="40">
      <c r="A40" s="23">
        <v>1.0</v>
      </c>
      <c r="B40" s="23">
        <v>11820.0</v>
      </c>
      <c r="C40" s="23">
        <v>15990.0</v>
      </c>
      <c r="M40" s="23">
        <v>6430.0</v>
      </c>
    </row>
    <row r="41">
      <c r="A41" s="23">
        <v>2.0</v>
      </c>
      <c r="B41" s="23">
        <v>9500.0</v>
      </c>
      <c r="C41" s="23">
        <v>16570.0</v>
      </c>
      <c r="M41" s="23">
        <v>9160.0</v>
      </c>
    </row>
    <row r="42">
      <c r="C42" s="23">
        <v>11700.0</v>
      </c>
    </row>
  </sheetData>
  <mergeCells count="2">
    <mergeCell ref="A1:H2"/>
    <mergeCell ref="M3:N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8" max="8" width="15.75"/>
  </cols>
  <sheetData>
    <row r="1">
      <c r="A1" s="25" t="s">
        <v>46</v>
      </c>
      <c r="B1" s="2"/>
      <c r="C1" s="2"/>
      <c r="D1" s="2"/>
      <c r="E1" s="2"/>
      <c r="F1" s="2"/>
      <c r="G1" s="2"/>
      <c r="H1" s="2"/>
    </row>
    <row r="2">
      <c r="A2" s="3"/>
    </row>
    <row r="3">
      <c r="A3" s="26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6" t="s">
        <v>9</v>
      </c>
      <c r="G3" s="26" t="s">
        <v>10</v>
      </c>
      <c r="H3" s="26" t="s">
        <v>11</v>
      </c>
      <c r="M3" s="24" t="s">
        <v>13</v>
      </c>
    </row>
    <row r="4">
      <c r="A4" s="27">
        <v>45992.0</v>
      </c>
      <c r="B4" s="11">
        <v>11820.0</v>
      </c>
      <c r="C4" s="11">
        <v>15990.0</v>
      </c>
      <c r="D4" s="29">
        <f t="shared" ref="D4:D34" si="1">B4+C4</f>
        <v>27810</v>
      </c>
      <c r="E4" s="28">
        <v>10000.0</v>
      </c>
      <c r="F4" s="28" t="s">
        <v>51</v>
      </c>
      <c r="G4" s="28"/>
      <c r="H4" s="28"/>
      <c r="M4" s="24"/>
      <c r="N4" s="16"/>
      <c r="O4" s="16"/>
    </row>
    <row r="5">
      <c r="A5" s="27">
        <v>45993.0</v>
      </c>
      <c r="B5" s="11">
        <v>9500.0</v>
      </c>
      <c r="C5" s="11">
        <v>16570.0</v>
      </c>
      <c r="D5" s="29">
        <f t="shared" si="1"/>
        <v>26070</v>
      </c>
      <c r="E5" s="28">
        <v>7000.0</v>
      </c>
      <c r="F5" s="28" t="s">
        <v>59</v>
      </c>
      <c r="G5" s="28"/>
      <c r="H5" s="28"/>
      <c r="M5" s="24"/>
      <c r="N5" s="16"/>
      <c r="O5" s="16"/>
    </row>
    <row r="6">
      <c r="A6" s="27">
        <v>45994.0</v>
      </c>
      <c r="B6" s="11">
        <v>13560.0</v>
      </c>
      <c r="C6" s="11">
        <v>11700.0</v>
      </c>
      <c r="D6" s="29">
        <f t="shared" si="1"/>
        <v>25260</v>
      </c>
      <c r="E6" s="28">
        <v>43919.0</v>
      </c>
      <c r="F6" s="28" t="s">
        <v>13</v>
      </c>
      <c r="G6" s="28"/>
      <c r="H6" s="28"/>
      <c r="M6" s="24"/>
      <c r="N6" s="16"/>
      <c r="O6" s="16"/>
    </row>
    <row r="7">
      <c r="A7" s="27">
        <v>45995.0</v>
      </c>
      <c r="B7" s="28">
        <v>10500.0</v>
      </c>
      <c r="C7" s="28">
        <v>21940.0</v>
      </c>
      <c r="D7" s="29">
        <f t="shared" si="1"/>
        <v>32440</v>
      </c>
      <c r="E7" s="28">
        <v>114851.0</v>
      </c>
      <c r="F7" s="28" t="s">
        <v>13</v>
      </c>
      <c r="G7" s="28"/>
      <c r="H7" s="28"/>
      <c r="M7" s="24"/>
      <c r="N7" s="16"/>
      <c r="O7" s="16"/>
    </row>
    <row r="8">
      <c r="A8" s="27">
        <v>45996.0</v>
      </c>
      <c r="B8" s="28">
        <v>16180.0</v>
      </c>
      <c r="C8" s="28">
        <v>18469.0</v>
      </c>
      <c r="D8" s="29">
        <f t="shared" si="1"/>
        <v>34649</v>
      </c>
      <c r="E8" s="28">
        <v>5000.0</v>
      </c>
      <c r="F8" s="28" t="s">
        <v>51</v>
      </c>
      <c r="G8" s="29"/>
      <c r="H8" s="28"/>
      <c r="M8" s="24"/>
      <c r="N8" s="16"/>
      <c r="O8" s="16"/>
    </row>
    <row r="9">
      <c r="A9" s="27">
        <v>45997.0</v>
      </c>
      <c r="B9" s="28">
        <v>9110.0</v>
      </c>
      <c r="C9" s="28">
        <v>15920.0</v>
      </c>
      <c r="D9" s="29">
        <f t="shared" si="1"/>
        <v>25030</v>
      </c>
      <c r="E9" s="28">
        <v>10000.0</v>
      </c>
      <c r="F9" s="28" t="s">
        <v>64</v>
      </c>
      <c r="G9" s="28"/>
      <c r="H9" s="28">
        <v>2500.0</v>
      </c>
      <c r="M9" s="24"/>
      <c r="N9" s="16"/>
      <c r="O9" s="16"/>
    </row>
    <row r="10">
      <c r="A10" s="27">
        <v>45998.0</v>
      </c>
      <c r="B10" s="28">
        <v>12100.0</v>
      </c>
      <c r="C10" s="28">
        <v>24890.0</v>
      </c>
      <c r="D10" s="29">
        <f t="shared" si="1"/>
        <v>36990</v>
      </c>
      <c r="E10" s="28"/>
      <c r="F10" s="28"/>
      <c r="G10" s="29"/>
      <c r="H10" s="28"/>
      <c r="M10" s="24"/>
      <c r="N10" s="16"/>
      <c r="O10" s="16"/>
    </row>
    <row r="11">
      <c r="A11" s="27">
        <v>45999.0</v>
      </c>
      <c r="B11" s="28">
        <v>12910.0</v>
      </c>
      <c r="C11" s="28">
        <v>18880.0</v>
      </c>
      <c r="D11" s="29">
        <f t="shared" si="1"/>
        <v>31790</v>
      </c>
      <c r="E11" s="28"/>
      <c r="F11" s="28"/>
      <c r="G11" s="29"/>
      <c r="H11" s="28"/>
      <c r="M11" s="24"/>
      <c r="N11" s="16"/>
      <c r="O11" s="16"/>
    </row>
    <row r="12">
      <c r="A12" s="27">
        <v>46000.0</v>
      </c>
      <c r="B12" s="28">
        <v>12920.0</v>
      </c>
      <c r="C12" s="28">
        <v>17290.0</v>
      </c>
      <c r="D12" s="29">
        <f t="shared" si="1"/>
        <v>30210</v>
      </c>
      <c r="E12" s="28"/>
      <c r="F12" s="28"/>
      <c r="G12" s="29"/>
      <c r="H12" s="28"/>
      <c r="M12" s="24"/>
      <c r="N12" s="16"/>
      <c r="O12" s="16"/>
    </row>
    <row r="13">
      <c r="A13" s="27">
        <v>46001.0</v>
      </c>
      <c r="B13" s="28">
        <v>17900.0</v>
      </c>
      <c r="C13" s="28">
        <v>11455.0</v>
      </c>
      <c r="D13" s="29">
        <f t="shared" si="1"/>
        <v>29355</v>
      </c>
      <c r="E13" s="28"/>
      <c r="F13" s="28"/>
      <c r="G13" s="29"/>
      <c r="H13" s="28"/>
      <c r="M13" s="24"/>
      <c r="N13" s="16"/>
      <c r="O13" s="16"/>
    </row>
    <row r="14">
      <c r="A14" s="27">
        <v>46002.0</v>
      </c>
      <c r="B14" s="28">
        <v>18400.0</v>
      </c>
      <c r="C14" s="28">
        <v>11880.0</v>
      </c>
      <c r="D14" s="29">
        <f t="shared" si="1"/>
        <v>30280</v>
      </c>
      <c r="E14" s="28"/>
      <c r="F14" s="28"/>
      <c r="G14" s="29"/>
      <c r="H14" s="28"/>
      <c r="M14" s="24"/>
      <c r="N14" s="16"/>
      <c r="O14" s="16"/>
    </row>
    <row r="15">
      <c r="A15" s="27">
        <v>46003.0</v>
      </c>
      <c r="B15" s="28">
        <v>10870.0</v>
      </c>
      <c r="C15" s="28">
        <v>20745.0</v>
      </c>
      <c r="D15" s="29">
        <f t="shared" si="1"/>
        <v>31615</v>
      </c>
      <c r="E15" s="28"/>
      <c r="F15" s="28"/>
      <c r="G15" s="29"/>
      <c r="H15" s="28"/>
      <c r="M15" s="24"/>
      <c r="N15" s="16"/>
      <c r="O15" s="16"/>
    </row>
    <row r="16">
      <c r="A16" s="27">
        <v>46004.0</v>
      </c>
      <c r="B16" s="28">
        <v>15960.0</v>
      </c>
      <c r="C16" s="28">
        <v>14608.0</v>
      </c>
      <c r="D16" s="29">
        <f t="shared" si="1"/>
        <v>30568</v>
      </c>
      <c r="E16" s="28"/>
      <c r="F16" s="28"/>
      <c r="G16" s="28"/>
      <c r="H16" s="28"/>
      <c r="M16" s="24"/>
      <c r="N16" s="16"/>
      <c r="O16" s="16"/>
    </row>
    <row r="17">
      <c r="A17" s="27">
        <v>46005.0</v>
      </c>
      <c r="B17" s="28">
        <v>9780.0</v>
      </c>
      <c r="C17" s="28">
        <v>13310.0</v>
      </c>
      <c r="D17" s="29">
        <f t="shared" si="1"/>
        <v>23090</v>
      </c>
      <c r="E17" s="28"/>
      <c r="F17" s="28"/>
      <c r="G17" s="29"/>
      <c r="H17" s="28">
        <v>1140.0</v>
      </c>
      <c r="M17" s="24"/>
      <c r="N17" s="16"/>
      <c r="O17" s="16"/>
    </row>
    <row r="18">
      <c r="A18" s="27">
        <v>46006.0</v>
      </c>
      <c r="B18" s="28">
        <v>12710.0</v>
      </c>
      <c r="C18" s="28">
        <v>14090.0</v>
      </c>
      <c r="D18" s="29">
        <f t="shared" si="1"/>
        <v>26800</v>
      </c>
      <c r="E18" s="28"/>
      <c r="F18" s="28"/>
      <c r="G18" s="29"/>
      <c r="H18" s="28">
        <v>150.0</v>
      </c>
      <c r="M18" s="24"/>
      <c r="N18" s="16"/>
      <c r="O18" s="16"/>
    </row>
    <row r="19">
      <c r="A19" s="27">
        <v>46007.0</v>
      </c>
      <c r="B19" s="28">
        <v>20130.0</v>
      </c>
      <c r="C19" s="28">
        <v>13320.0</v>
      </c>
      <c r="D19" s="29">
        <f t="shared" si="1"/>
        <v>33450</v>
      </c>
      <c r="E19" s="28"/>
      <c r="F19" s="28"/>
      <c r="G19" s="29"/>
      <c r="H19" s="28"/>
      <c r="M19" s="24"/>
      <c r="N19" s="16"/>
      <c r="O19" s="16"/>
    </row>
    <row r="20">
      <c r="A20" s="27">
        <v>46008.0</v>
      </c>
      <c r="B20" s="28">
        <v>23630.0</v>
      </c>
      <c r="C20" s="28">
        <v>18140.0</v>
      </c>
      <c r="D20" s="29">
        <f t="shared" si="1"/>
        <v>41770</v>
      </c>
      <c r="E20" s="28"/>
      <c r="F20" s="28"/>
      <c r="G20" s="28"/>
      <c r="H20" s="28"/>
      <c r="M20" s="24"/>
      <c r="N20" s="16"/>
      <c r="O20" s="16"/>
    </row>
    <row r="21">
      <c r="A21" s="27">
        <v>46009.0</v>
      </c>
      <c r="B21" s="28">
        <v>13140.0</v>
      </c>
      <c r="C21" s="28">
        <v>17125.0</v>
      </c>
      <c r="D21" s="29">
        <f t="shared" si="1"/>
        <v>30265</v>
      </c>
      <c r="E21" s="28"/>
      <c r="F21" s="28"/>
      <c r="G21" s="28"/>
      <c r="H21" s="28">
        <v>1080.0</v>
      </c>
      <c r="M21" s="24"/>
      <c r="N21" s="16"/>
      <c r="O21" s="16"/>
    </row>
    <row r="22">
      <c r="A22" s="27">
        <v>46010.0</v>
      </c>
      <c r="B22" s="28">
        <v>22220.0</v>
      </c>
      <c r="C22" s="28">
        <v>25620.0</v>
      </c>
      <c r="D22" s="29">
        <f t="shared" si="1"/>
        <v>47840</v>
      </c>
      <c r="E22" s="29"/>
      <c r="F22" s="28"/>
      <c r="G22" s="28"/>
      <c r="H22" s="28"/>
      <c r="M22" s="24"/>
      <c r="N22" s="16"/>
      <c r="O22" s="16"/>
    </row>
    <row r="23">
      <c r="A23" s="27">
        <v>46011.0</v>
      </c>
      <c r="B23" s="28">
        <v>24389.0</v>
      </c>
      <c r="C23" s="28"/>
      <c r="D23" s="29">
        <f t="shared" si="1"/>
        <v>24389</v>
      </c>
      <c r="E23" s="28"/>
      <c r="F23" s="28"/>
      <c r="G23" s="16"/>
      <c r="H23" s="29"/>
      <c r="M23" s="24"/>
      <c r="N23" s="16"/>
      <c r="O23" s="16"/>
    </row>
    <row r="24">
      <c r="A24" s="27">
        <v>46012.0</v>
      </c>
      <c r="B24" s="28">
        <v>10770.0</v>
      </c>
      <c r="C24" s="28"/>
      <c r="D24" s="29">
        <f t="shared" si="1"/>
        <v>10770</v>
      </c>
      <c r="E24" s="28"/>
      <c r="F24" s="28"/>
      <c r="G24" s="29"/>
      <c r="H24" s="28"/>
      <c r="M24" s="24"/>
      <c r="N24" s="16"/>
      <c r="O24" s="16"/>
    </row>
    <row r="25">
      <c r="A25" s="27">
        <v>46013.0</v>
      </c>
      <c r="B25" s="28">
        <v>9890.0</v>
      </c>
      <c r="C25" s="28"/>
      <c r="D25" s="29">
        <f t="shared" si="1"/>
        <v>9890</v>
      </c>
      <c r="E25" s="28"/>
      <c r="F25" s="28"/>
      <c r="G25" s="29"/>
      <c r="H25" s="28"/>
      <c r="M25" s="24"/>
      <c r="N25" s="16"/>
      <c r="O25" s="16"/>
    </row>
    <row r="26">
      <c r="A26" s="27">
        <v>46014.0</v>
      </c>
      <c r="B26" s="28">
        <v>11730.0</v>
      </c>
      <c r="C26" s="28"/>
      <c r="D26" s="29">
        <f t="shared" si="1"/>
        <v>11730</v>
      </c>
      <c r="E26" s="28"/>
      <c r="F26" s="28"/>
      <c r="G26" s="29"/>
      <c r="H26" s="28"/>
      <c r="M26" s="24"/>
      <c r="N26" s="16"/>
      <c r="O26" s="16"/>
    </row>
    <row r="27">
      <c r="A27" s="27">
        <v>46015.0</v>
      </c>
      <c r="B27" s="28">
        <v>7670.0</v>
      </c>
      <c r="C27" s="28"/>
      <c r="D27" s="29">
        <f t="shared" si="1"/>
        <v>7670</v>
      </c>
      <c r="E27" s="28"/>
      <c r="F27" s="28"/>
      <c r="G27" s="29"/>
      <c r="H27" s="28"/>
      <c r="M27" s="24"/>
      <c r="N27" s="16"/>
      <c r="O27" s="16"/>
    </row>
    <row r="28">
      <c r="A28" s="27">
        <v>46016.0</v>
      </c>
      <c r="B28" s="28">
        <v>16690.0</v>
      </c>
      <c r="C28" s="28"/>
      <c r="D28" s="29">
        <f t="shared" si="1"/>
        <v>16690</v>
      </c>
      <c r="E28" s="28"/>
      <c r="F28" s="28"/>
      <c r="G28" s="28"/>
      <c r="H28" s="28"/>
      <c r="M28" s="24"/>
      <c r="N28" s="16"/>
      <c r="O28" s="16"/>
    </row>
    <row r="29">
      <c r="A29" s="27">
        <v>46017.0</v>
      </c>
      <c r="B29" s="28">
        <v>8580.0</v>
      </c>
      <c r="C29" s="28"/>
      <c r="D29" s="29">
        <f t="shared" si="1"/>
        <v>8580</v>
      </c>
      <c r="E29" s="30"/>
      <c r="F29" s="30"/>
      <c r="G29" s="29"/>
      <c r="H29" s="28"/>
      <c r="M29" s="24"/>
      <c r="N29" s="16"/>
      <c r="O29" s="16"/>
    </row>
    <row r="30">
      <c r="A30" s="27">
        <v>46018.0</v>
      </c>
      <c r="B30" s="28">
        <v>17580.0</v>
      </c>
      <c r="C30" s="28"/>
      <c r="D30" s="29">
        <f t="shared" si="1"/>
        <v>17580</v>
      </c>
      <c r="E30" s="30"/>
      <c r="F30" s="29"/>
      <c r="G30" s="29"/>
      <c r="H30" s="29"/>
      <c r="M30" s="24"/>
      <c r="N30" s="16"/>
      <c r="O30" s="16"/>
    </row>
    <row r="31">
      <c r="A31" s="27">
        <v>46019.0</v>
      </c>
      <c r="B31" s="28">
        <v>14500.0</v>
      </c>
      <c r="C31" s="28"/>
      <c r="D31" s="29">
        <f t="shared" si="1"/>
        <v>14500</v>
      </c>
      <c r="E31" s="30"/>
      <c r="F31" s="29"/>
      <c r="G31" s="29"/>
      <c r="H31" s="29"/>
      <c r="M31" s="24"/>
      <c r="N31" s="16"/>
      <c r="O31" s="16"/>
    </row>
    <row r="32">
      <c r="A32" s="27">
        <v>46020.0</v>
      </c>
      <c r="B32" s="28">
        <v>9400.0</v>
      </c>
      <c r="C32" s="28"/>
      <c r="D32" s="29">
        <f t="shared" si="1"/>
        <v>9400</v>
      </c>
      <c r="E32" s="30"/>
      <c r="F32" s="30"/>
      <c r="G32" s="29"/>
      <c r="H32" s="29"/>
      <c r="M32" s="24"/>
      <c r="N32" s="16"/>
      <c r="O32" s="16"/>
    </row>
    <row r="33">
      <c r="A33" s="27">
        <v>46021.0</v>
      </c>
      <c r="B33" s="28">
        <v>16700.0</v>
      </c>
      <c r="C33" s="28"/>
      <c r="D33" s="29">
        <f t="shared" si="1"/>
        <v>16700</v>
      </c>
      <c r="E33" s="30"/>
      <c r="F33" s="30"/>
      <c r="G33" s="29"/>
      <c r="H33" s="29"/>
      <c r="M33" s="24"/>
      <c r="N33" s="16"/>
      <c r="O33" s="16"/>
    </row>
    <row r="34">
      <c r="A34" s="27">
        <v>46022.0</v>
      </c>
      <c r="B34" s="28">
        <v>18750.0</v>
      </c>
      <c r="C34" s="28"/>
      <c r="D34" s="29">
        <f t="shared" si="1"/>
        <v>18750</v>
      </c>
      <c r="E34" s="29"/>
      <c r="F34" s="29"/>
      <c r="G34" s="29"/>
      <c r="H34" s="29"/>
      <c r="M34" s="24"/>
      <c r="N34" s="16">
        <f>D34-M34</f>
        <v>18750</v>
      </c>
      <c r="O34" s="16"/>
    </row>
    <row r="35">
      <c r="A35" s="30"/>
      <c r="B35" s="29">
        <f t="shared" ref="B35:H35" si="2">SUM(B4:B34)</f>
        <v>439989</v>
      </c>
      <c r="C35" s="29">
        <f t="shared" si="2"/>
        <v>321942</v>
      </c>
      <c r="D35" s="29">
        <f t="shared" si="2"/>
        <v>761931</v>
      </c>
      <c r="E35" s="29">
        <f t="shared" si="2"/>
        <v>190770</v>
      </c>
      <c r="F35" s="29">
        <f t="shared" si="2"/>
        <v>0</v>
      </c>
      <c r="G35" s="29">
        <f t="shared" si="2"/>
        <v>0</v>
      </c>
      <c r="H35" s="29">
        <f t="shared" si="2"/>
        <v>4870</v>
      </c>
      <c r="M35" s="16">
        <f t="shared" ref="M35:N35" si="3">SUM(M4:M34)</f>
        <v>0</v>
      </c>
      <c r="N35" s="16">
        <f t="shared" si="3"/>
        <v>18750</v>
      </c>
      <c r="O35" s="16">
        <f>M35+N35</f>
        <v>18750</v>
      </c>
    </row>
    <row r="36">
      <c r="A36" s="31"/>
      <c r="B36" s="31"/>
      <c r="C36" s="31"/>
      <c r="D36" s="31"/>
      <c r="E36" s="31"/>
      <c r="F36" s="32">
        <f>E35+G35</f>
        <v>190770</v>
      </c>
      <c r="G36" s="31"/>
      <c r="H36" s="31"/>
    </row>
    <row r="37">
      <c r="C37" s="15">
        <f>B35-G35</f>
        <v>439989</v>
      </c>
    </row>
    <row r="41">
      <c r="B41" s="23">
        <v>14500.0</v>
      </c>
    </row>
  </sheetData>
  <mergeCells count="2">
    <mergeCell ref="A1:H2"/>
    <mergeCell ref="M3:N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13"/>
    <col customWidth="1" min="7" max="7" width="20.25"/>
    <col customWidth="1" min="8" max="8" width="20.0"/>
  </cols>
  <sheetData>
    <row r="1">
      <c r="A1" s="25" t="s">
        <v>69</v>
      </c>
      <c r="B1" s="2"/>
      <c r="C1" s="2"/>
      <c r="D1" s="2"/>
      <c r="E1" s="2"/>
      <c r="F1" s="2"/>
      <c r="G1" s="2"/>
      <c r="H1" s="2"/>
    </row>
    <row r="2">
      <c r="A2" s="3"/>
    </row>
    <row r="3">
      <c r="A3" s="26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6" t="s">
        <v>9</v>
      </c>
      <c r="G3" s="26" t="s">
        <v>10</v>
      </c>
      <c r="H3" s="26" t="s">
        <v>11</v>
      </c>
    </row>
    <row r="4">
      <c r="A4" s="27">
        <v>46023.0</v>
      </c>
      <c r="B4" s="11">
        <v>18740.0</v>
      </c>
      <c r="C4" s="11">
        <v>12260.0</v>
      </c>
      <c r="D4" s="29">
        <f t="shared" ref="D4:D34" si="1">SUM(B4:C4)</f>
        <v>31000</v>
      </c>
      <c r="E4" s="28">
        <v>8900.0</v>
      </c>
      <c r="F4" s="28"/>
      <c r="G4" s="28"/>
      <c r="H4" s="28">
        <v>0.0</v>
      </c>
    </row>
    <row r="5">
      <c r="A5" s="27">
        <v>46024.0</v>
      </c>
      <c r="B5" s="11">
        <v>15140.0</v>
      </c>
      <c r="C5" s="11">
        <v>18260.0</v>
      </c>
      <c r="D5" s="29">
        <f t="shared" si="1"/>
        <v>33400</v>
      </c>
      <c r="E5" s="28">
        <v>18793.0</v>
      </c>
      <c r="F5" s="28"/>
      <c r="G5" s="28"/>
      <c r="H5" s="28">
        <v>1300.0</v>
      </c>
    </row>
    <row r="6">
      <c r="A6" s="27">
        <v>46025.0</v>
      </c>
      <c r="B6" s="11">
        <v>10800.0</v>
      </c>
      <c r="C6" s="11">
        <v>17520.0</v>
      </c>
      <c r="D6" s="29">
        <f t="shared" si="1"/>
        <v>28320</v>
      </c>
      <c r="E6" s="28">
        <v>65000.0</v>
      </c>
      <c r="F6" s="28"/>
      <c r="G6" s="28"/>
      <c r="H6" s="28">
        <v>1200.0</v>
      </c>
    </row>
    <row r="7">
      <c r="A7" s="27">
        <v>46026.0</v>
      </c>
      <c r="B7" s="28">
        <v>12480.0</v>
      </c>
      <c r="C7" s="28">
        <v>22350.0</v>
      </c>
      <c r="D7" s="29">
        <f t="shared" si="1"/>
        <v>34830</v>
      </c>
      <c r="E7" s="28">
        <v>6000.0</v>
      </c>
      <c r="F7" s="28"/>
      <c r="G7" s="28"/>
      <c r="H7" s="28">
        <v>0.0</v>
      </c>
    </row>
    <row r="8">
      <c r="A8" s="27">
        <v>46027.0</v>
      </c>
      <c r="B8" s="28">
        <v>12750.0</v>
      </c>
      <c r="C8" s="28">
        <v>8840.0</v>
      </c>
      <c r="D8" s="29">
        <f t="shared" si="1"/>
        <v>21590</v>
      </c>
      <c r="E8" s="28">
        <v>3250.0</v>
      </c>
      <c r="F8" s="28"/>
      <c r="G8" s="29"/>
      <c r="H8" s="28">
        <v>0.0</v>
      </c>
    </row>
    <row r="9">
      <c r="A9" s="27">
        <v>46028.0</v>
      </c>
      <c r="B9" s="28">
        <v>10400.0</v>
      </c>
      <c r="C9" s="28">
        <v>18560.0</v>
      </c>
      <c r="D9" s="29">
        <f t="shared" si="1"/>
        <v>28960</v>
      </c>
      <c r="E9" s="28">
        <v>26080.0</v>
      </c>
      <c r="F9" s="28"/>
      <c r="G9" s="28"/>
      <c r="H9" s="28"/>
    </row>
    <row r="10">
      <c r="A10" s="27">
        <v>46029.0</v>
      </c>
      <c r="B10" s="28">
        <v>7600.0</v>
      </c>
      <c r="C10" s="28">
        <v>23380.0</v>
      </c>
      <c r="D10" s="29">
        <f t="shared" si="1"/>
        <v>30980</v>
      </c>
      <c r="E10" s="28">
        <v>1500.0</v>
      </c>
      <c r="F10" s="28"/>
      <c r="G10" s="29"/>
      <c r="H10" s="28"/>
    </row>
    <row r="11">
      <c r="A11" s="27">
        <v>46030.0</v>
      </c>
      <c r="B11" s="28">
        <v>14000.0</v>
      </c>
      <c r="C11" s="28">
        <v>20540.0</v>
      </c>
      <c r="D11" s="29">
        <f t="shared" si="1"/>
        <v>34540</v>
      </c>
      <c r="E11" s="28">
        <v>2200.0</v>
      </c>
      <c r="F11" s="28"/>
      <c r="G11" s="29"/>
      <c r="H11" s="28"/>
    </row>
    <row r="12">
      <c r="A12" s="27">
        <v>46031.0</v>
      </c>
      <c r="B12" s="28">
        <v>13415.0</v>
      </c>
      <c r="C12" s="28">
        <v>26885.0</v>
      </c>
      <c r="D12" s="29">
        <f t="shared" si="1"/>
        <v>40300</v>
      </c>
      <c r="E12" s="28">
        <v>4800.0</v>
      </c>
      <c r="F12" s="28"/>
      <c r="G12" s="29"/>
      <c r="H12" s="28">
        <v>500.0</v>
      </c>
    </row>
    <row r="13">
      <c r="A13" s="27">
        <v>46032.0</v>
      </c>
      <c r="B13" s="28">
        <v>10530.0</v>
      </c>
      <c r="C13" s="28">
        <v>17420.0</v>
      </c>
      <c r="D13" s="29">
        <f t="shared" si="1"/>
        <v>27950</v>
      </c>
      <c r="E13" s="28">
        <v>175000.0</v>
      </c>
      <c r="F13" s="28"/>
      <c r="G13" s="29"/>
      <c r="H13" s="28"/>
    </row>
    <row r="14">
      <c r="A14" s="27">
        <v>46033.0</v>
      </c>
      <c r="B14" s="28">
        <v>3940.0</v>
      </c>
      <c r="C14" s="28">
        <v>31060.0</v>
      </c>
      <c r="D14" s="29">
        <f t="shared" si="1"/>
        <v>35000</v>
      </c>
      <c r="E14" s="28">
        <v>2500.0</v>
      </c>
      <c r="F14" s="28"/>
      <c r="G14" s="29"/>
      <c r="H14" s="28"/>
    </row>
    <row r="15">
      <c r="A15" s="27">
        <v>46034.0</v>
      </c>
      <c r="B15" s="28">
        <v>11100.0</v>
      </c>
      <c r="C15" s="28">
        <v>16450.0</v>
      </c>
      <c r="D15" s="29">
        <f t="shared" si="1"/>
        <v>27550</v>
      </c>
      <c r="E15" s="28">
        <v>5500.0</v>
      </c>
      <c r="F15" s="28"/>
      <c r="G15" s="29"/>
      <c r="H15" s="28"/>
    </row>
    <row r="16">
      <c r="A16" s="27">
        <v>46035.0</v>
      </c>
      <c r="B16" s="28">
        <v>8630.0</v>
      </c>
      <c r="C16" s="28">
        <v>27280.0</v>
      </c>
      <c r="D16" s="29">
        <f t="shared" si="1"/>
        <v>35910</v>
      </c>
      <c r="E16" s="28">
        <v>27000.0</v>
      </c>
      <c r="F16" s="28"/>
      <c r="G16" s="28"/>
      <c r="H16" s="28">
        <v>1700.0</v>
      </c>
    </row>
    <row r="17">
      <c r="A17" s="27">
        <v>46036.0</v>
      </c>
      <c r="B17" s="28">
        <v>14100.0</v>
      </c>
      <c r="C17" s="28">
        <v>19079.0</v>
      </c>
      <c r="D17" s="29">
        <f t="shared" si="1"/>
        <v>33179</v>
      </c>
      <c r="E17" s="28">
        <v>5500.0</v>
      </c>
      <c r="F17" s="28"/>
      <c r="G17" s="29"/>
      <c r="H17" s="28"/>
    </row>
    <row r="18">
      <c r="A18" s="27">
        <v>46037.0</v>
      </c>
      <c r="B18" s="28">
        <v>10020.0</v>
      </c>
      <c r="C18" s="28">
        <v>26190.0</v>
      </c>
      <c r="D18" s="29">
        <f t="shared" si="1"/>
        <v>36210</v>
      </c>
      <c r="E18" s="28"/>
      <c r="F18" s="28"/>
      <c r="G18" s="29"/>
      <c r="H18" s="28"/>
    </row>
    <row r="19">
      <c r="A19" s="27">
        <v>46038.0</v>
      </c>
      <c r="B19" s="28">
        <v>6960.0</v>
      </c>
      <c r="C19" s="28">
        <v>19880.0</v>
      </c>
      <c r="D19" s="29">
        <f t="shared" si="1"/>
        <v>26840</v>
      </c>
      <c r="E19" s="28"/>
      <c r="F19" s="28"/>
      <c r="G19" s="29"/>
      <c r="H19" s="28">
        <v>1500.0</v>
      </c>
    </row>
    <row r="20">
      <c r="A20" s="27">
        <v>46039.0</v>
      </c>
      <c r="B20" s="28">
        <v>16800.0</v>
      </c>
      <c r="C20" s="28">
        <v>16000.0</v>
      </c>
      <c r="D20" s="29">
        <f t="shared" si="1"/>
        <v>32800</v>
      </c>
      <c r="E20" s="28"/>
      <c r="F20" s="28"/>
      <c r="G20" s="28"/>
      <c r="H20" s="28"/>
    </row>
    <row r="21">
      <c r="A21" s="27">
        <v>46040.0</v>
      </c>
      <c r="B21" s="28">
        <v>16760.0</v>
      </c>
      <c r="C21" s="28">
        <v>18260.0</v>
      </c>
      <c r="D21" s="29">
        <f t="shared" si="1"/>
        <v>35020</v>
      </c>
      <c r="E21" s="28"/>
      <c r="F21" s="28"/>
      <c r="G21" s="28"/>
      <c r="H21" s="28"/>
    </row>
    <row r="22">
      <c r="A22" s="27">
        <v>46041.0</v>
      </c>
      <c r="B22" s="28">
        <v>14170.0</v>
      </c>
      <c r="C22" s="28">
        <v>21830.0</v>
      </c>
      <c r="D22" s="29">
        <f t="shared" si="1"/>
        <v>36000</v>
      </c>
      <c r="E22" s="28">
        <v>25200.0</v>
      </c>
      <c r="F22" s="28"/>
      <c r="G22" s="28">
        <v>24000.0</v>
      </c>
      <c r="H22" s="28"/>
    </row>
    <row r="23">
      <c r="A23" s="27">
        <v>46042.0</v>
      </c>
      <c r="B23" s="28">
        <v>13650.0</v>
      </c>
      <c r="C23" s="28">
        <v>19199.0</v>
      </c>
      <c r="D23" s="29">
        <f t="shared" si="1"/>
        <v>32849</v>
      </c>
      <c r="E23" s="28">
        <v>9000.0</v>
      </c>
      <c r="F23" s="28"/>
      <c r="G23" s="24">
        <v>3500.0</v>
      </c>
      <c r="H23" s="28">
        <v>1580.0</v>
      </c>
    </row>
    <row r="24">
      <c r="A24" s="27">
        <v>46043.0</v>
      </c>
      <c r="B24" s="28">
        <v>9700.0</v>
      </c>
      <c r="C24" s="28">
        <v>19736.0</v>
      </c>
      <c r="D24" s="29">
        <f t="shared" si="1"/>
        <v>29436</v>
      </c>
      <c r="E24" s="28">
        <v>4000.0</v>
      </c>
      <c r="F24" s="28"/>
      <c r="G24" s="29"/>
      <c r="H24" s="28"/>
    </row>
    <row r="25">
      <c r="A25" s="27">
        <v>46044.0</v>
      </c>
      <c r="B25" s="28">
        <v>10600.0</v>
      </c>
      <c r="C25" s="28">
        <v>14570.0</v>
      </c>
      <c r="D25" s="29">
        <f t="shared" si="1"/>
        <v>25170</v>
      </c>
      <c r="E25" s="28">
        <v>5000.0</v>
      </c>
      <c r="F25" s="28"/>
      <c r="G25" s="29"/>
      <c r="H25" s="28"/>
    </row>
    <row r="26">
      <c r="A26" s="27">
        <v>46045.0</v>
      </c>
      <c r="B26" s="28">
        <v>7320.0</v>
      </c>
      <c r="C26" s="28">
        <v>18896.0</v>
      </c>
      <c r="D26" s="29">
        <f t="shared" si="1"/>
        <v>26216</v>
      </c>
      <c r="E26" s="28">
        <v>1115.0</v>
      </c>
      <c r="F26" s="28"/>
      <c r="G26" s="29"/>
      <c r="H26" s="28">
        <v>5800.0</v>
      </c>
    </row>
    <row r="27">
      <c r="A27" s="27">
        <v>46046.0</v>
      </c>
      <c r="B27" s="28">
        <v>6700.0</v>
      </c>
      <c r="C27" s="28">
        <v>18827.0</v>
      </c>
      <c r="D27" s="29">
        <f t="shared" si="1"/>
        <v>25527</v>
      </c>
      <c r="E27" s="28">
        <v>3000.0</v>
      </c>
      <c r="F27" s="28"/>
      <c r="G27" s="29"/>
      <c r="H27" s="28"/>
    </row>
    <row r="28">
      <c r="A28" s="27">
        <v>46047.0</v>
      </c>
      <c r="B28" s="28">
        <v>11000.0</v>
      </c>
      <c r="C28" s="28">
        <v>8450.0</v>
      </c>
      <c r="D28" s="29">
        <f t="shared" si="1"/>
        <v>19450</v>
      </c>
      <c r="E28" s="28">
        <v>10000.0</v>
      </c>
      <c r="F28" s="28" t="s">
        <v>64</v>
      </c>
      <c r="G28" s="28"/>
      <c r="H28" s="28"/>
    </row>
    <row r="29">
      <c r="A29" s="27">
        <v>46048.0</v>
      </c>
      <c r="B29" s="28">
        <v>10570.0</v>
      </c>
      <c r="C29" s="28">
        <v>12310.0</v>
      </c>
      <c r="D29" s="29">
        <f t="shared" si="1"/>
        <v>22880</v>
      </c>
      <c r="E29" s="30"/>
      <c r="F29" s="30"/>
      <c r="G29" s="29"/>
      <c r="H29" s="28"/>
    </row>
    <row r="30">
      <c r="A30" s="27">
        <v>46049.0</v>
      </c>
      <c r="B30" s="28">
        <v>10270.0</v>
      </c>
      <c r="C30" s="28">
        <v>11835.0</v>
      </c>
      <c r="D30" s="29">
        <f t="shared" si="1"/>
        <v>22105</v>
      </c>
      <c r="E30" s="30"/>
      <c r="F30" s="29"/>
      <c r="G30" s="29"/>
      <c r="H30" s="29"/>
    </row>
    <row r="31">
      <c r="A31" s="27">
        <v>46050.0</v>
      </c>
      <c r="B31" s="28">
        <v>13130.0</v>
      </c>
      <c r="C31" s="28">
        <v>20848.0</v>
      </c>
      <c r="D31" s="29">
        <f t="shared" si="1"/>
        <v>33978</v>
      </c>
      <c r="E31" s="30"/>
      <c r="F31" s="29"/>
      <c r="G31" s="29"/>
      <c r="H31" s="29"/>
    </row>
    <row r="32">
      <c r="A32" s="27">
        <v>46051.0</v>
      </c>
      <c r="B32" s="28">
        <v>9700.0</v>
      </c>
      <c r="C32" s="28">
        <v>17440.0</v>
      </c>
      <c r="D32" s="29">
        <f t="shared" si="1"/>
        <v>27140</v>
      </c>
      <c r="E32" s="30"/>
      <c r="F32" s="30"/>
      <c r="G32" s="29"/>
      <c r="H32" s="29"/>
    </row>
    <row r="33">
      <c r="A33" s="27">
        <v>46052.0</v>
      </c>
      <c r="B33" s="28">
        <v>10600.0</v>
      </c>
      <c r="C33" s="28">
        <v>11160.0</v>
      </c>
      <c r="D33" s="29">
        <f t="shared" si="1"/>
        <v>21760</v>
      </c>
      <c r="E33" s="30"/>
      <c r="F33" s="30"/>
      <c r="G33" s="29"/>
      <c r="H33" s="29"/>
    </row>
    <row r="34">
      <c r="A34" s="27">
        <v>46053.0</v>
      </c>
      <c r="B34" s="28">
        <v>9670.0</v>
      </c>
      <c r="C34" s="28">
        <v>19352.0</v>
      </c>
      <c r="D34" s="29">
        <f t="shared" si="1"/>
        <v>29022</v>
      </c>
      <c r="E34" s="29"/>
      <c r="F34" s="29"/>
      <c r="G34" s="29"/>
      <c r="H34" s="29"/>
    </row>
    <row r="35">
      <c r="A35" s="30"/>
      <c r="B35" s="29">
        <f t="shared" ref="B35:H35" si="2">SUM(B4:B34)</f>
        <v>351245</v>
      </c>
      <c r="C35" s="29">
        <f t="shared" si="2"/>
        <v>574667</v>
      </c>
      <c r="D35" s="29">
        <f t="shared" si="2"/>
        <v>925912</v>
      </c>
      <c r="E35" s="29">
        <f t="shared" si="2"/>
        <v>409338</v>
      </c>
      <c r="F35" s="29">
        <f t="shared" si="2"/>
        <v>0</v>
      </c>
      <c r="G35" s="29">
        <f t="shared" si="2"/>
        <v>27500</v>
      </c>
      <c r="H35" s="29">
        <f t="shared" si="2"/>
        <v>13580</v>
      </c>
    </row>
    <row r="36">
      <c r="A36" s="31"/>
      <c r="B36" s="31"/>
      <c r="C36" s="31"/>
      <c r="D36" s="31"/>
      <c r="E36" s="31"/>
      <c r="F36" s="32">
        <f>E35+G35</f>
        <v>436838</v>
      </c>
      <c r="G36" s="31"/>
      <c r="H36" s="31"/>
    </row>
    <row r="37">
      <c r="C37" s="15">
        <f>B35-G35</f>
        <v>323745</v>
      </c>
    </row>
  </sheetData>
  <mergeCells count="1">
    <mergeCell ref="A1:H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13"/>
    <col customWidth="1" min="6" max="6" width="17.5"/>
    <col customWidth="1" min="7" max="7" width="19.63"/>
    <col customWidth="1" min="8" max="8" width="18.38"/>
  </cols>
  <sheetData>
    <row r="1">
      <c r="A1" s="25" t="s">
        <v>70</v>
      </c>
      <c r="B1" s="2"/>
      <c r="C1" s="2"/>
      <c r="D1" s="2"/>
      <c r="E1" s="2"/>
      <c r="F1" s="2"/>
      <c r="G1" s="2"/>
      <c r="H1" s="2"/>
    </row>
    <row r="2">
      <c r="A2" s="3"/>
    </row>
    <row r="3">
      <c r="A3" s="26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6" t="s">
        <v>9</v>
      </c>
      <c r="G3" s="26" t="s">
        <v>10</v>
      </c>
      <c r="H3" s="26" t="s">
        <v>11</v>
      </c>
    </row>
    <row r="4">
      <c r="A4" s="27">
        <v>46054.0</v>
      </c>
      <c r="B4" s="11">
        <v>14910.0</v>
      </c>
      <c r="C4" s="11">
        <v>17605.0</v>
      </c>
      <c r="D4" s="29">
        <f t="shared" ref="D4:D31" si="1">SUM(B4:C4)</f>
        <v>32515</v>
      </c>
      <c r="E4" s="28">
        <v>93000.0</v>
      </c>
      <c r="F4" s="28" t="s">
        <v>14</v>
      </c>
      <c r="G4" s="28">
        <v>8700.0</v>
      </c>
      <c r="H4" s="28"/>
    </row>
    <row r="5">
      <c r="A5" s="27">
        <v>46055.0</v>
      </c>
      <c r="B5" s="11">
        <v>13720.0</v>
      </c>
      <c r="C5" s="11">
        <v>7330.0</v>
      </c>
      <c r="D5" s="29">
        <f t="shared" si="1"/>
        <v>21050</v>
      </c>
      <c r="E5" s="28"/>
      <c r="F5" s="28"/>
      <c r="G5" s="28"/>
      <c r="H5" s="28"/>
    </row>
    <row r="6">
      <c r="A6" s="27">
        <v>46056.0</v>
      </c>
      <c r="B6" s="11">
        <v>10630.0</v>
      </c>
      <c r="C6" s="11">
        <v>12870.0</v>
      </c>
      <c r="D6" s="29">
        <f t="shared" si="1"/>
        <v>23500</v>
      </c>
      <c r="E6" s="28"/>
      <c r="F6" s="28"/>
      <c r="G6" s="28"/>
      <c r="H6" s="28"/>
    </row>
    <row r="7">
      <c r="A7" s="27">
        <v>46057.0</v>
      </c>
      <c r="B7" s="28">
        <v>8080.0</v>
      </c>
      <c r="C7" s="28">
        <v>7630.0</v>
      </c>
      <c r="D7" s="29">
        <f t="shared" si="1"/>
        <v>15710</v>
      </c>
      <c r="E7" s="28"/>
      <c r="F7" s="28"/>
      <c r="G7" s="28"/>
      <c r="H7" s="28">
        <v>3400.0</v>
      </c>
    </row>
    <row r="8">
      <c r="A8" s="27">
        <v>46058.0</v>
      </c>
      <c r="B8" s="28">
        <v>14750.0</v>
      </c>
      <c r="C8" s="28">
        <v>10796.0</v>
      </c>
      <c r="D8" s="29">
        <f t="shared" si="1"/>
        <v>25546</v>
      </c>
      <c r="E8" s="28"/>
      <c r="F8" s="28"/>
      <c r="G8" s="29"/>
      <c r="H8" s="28"/>
    </row>
    <row r="9">
      <c r="A9" s="27">
        <v>46059.0</v>
      </c>
      <c r="B9" s="28">
        <v>5090.0</v>
      </c>
      <c r="C9" s="28">
        <v>11709.0</v>
      </c>
      <c r="D9" s="29">
        <f t="shared" si="1"/>
        <v>16799</v>
      </c>
      <c r="E9" s="28"/>
      <c r="F9" s="28"/>
      <c r="G9" s="28"/>
      <c r="H9" s="28">
        <v>4000.0</v>
      </c>
    </row>
    <row r="10">
      <c r="A10" s="33">
        <v>46060.0</v>
      </c>
      <c r="B10" s="34"/>
      <c r="C10" s="34"/>
      <c r="D10" s="36">
        <f t="shared" si="1"/>
        <v>0</v>
      </c>
      <c r="E10" s="34"/>
      <c r="F10" s="34"/>
      <c r="G10" s="36"/>
      <c r="H10" s="34"/>
    </row>
    <row r="11">
      <c r="A11" s="33">
        <v>46061.0</v>
      </c>
      <c r="B11" s="34"/>
      <c r="C11" s="34"/>
      <c r="D11" s="36">
        <f t="shared" si="1"/>
        <v>0</v>
      </c>
      <c r="E11" s="34"/>
      <c r="F11" s="34"/>
      <c r="G11" s="36"/>
      <c r="H11" s="34"/>
    </row>
    <row r="12">
      <c r="A12" s="33">
        <v>46062.0</v>
      </c>
      <c r="B12" s="34"/>
      <c r="C12" s="34"/>
      <c r="D12" s="36">
        <f t="shared" si="1"/>
        <v>0</v>
      </c>
      <c r="E12" s="34"/>
      <c r="F12" s="34"/>
      <c r="G12" s="36"/>
      <c r="H12" s="34"/>
    </row>
    <row r="13">
      <c r="A13" s="27">
        <v>46063.0</v>
      </c>
      <c r="B13" s="28">
        <v>8700.0</v>
      </c>
      <c r="C13" s="28">
        <v>10500.0</v>
      </c>
      <c r="D13" s="29">
        <f t="shared" si="1"/>
        <v>19200</v>
      </c>
      <c r="E13" s="28">
        <v>22106.0</v>
      </c>
      <c r="F13" s="28" t="s">
        <v>13</v>
      </c>
      <c r="G13" s="29"/>
      <c r="H13" s="28"/>
    </row>
    <row r="14">
      <c r="A14" s="27">
        <v>46064.0</v>
      </c>
      <c r="B14" s="28">
        <v>12150.0</v>
      </c>
      <c r="C14" s="28">
        <v>4650.0</v>
      </c>
      <c r="D14" s="29">
        <f t="shared" si="1"/>
        <v>16800</v>
      </c>
      <c r="E14" s="28">
        <v>58000.0</v>
      </c>
      <c r="F14" s="28" t="s">
        <v>73</v>
      </c>
      <c r="G14" s="29"/>
      <c r="H14" s="28"/>
    </row>
    <row r="15">
      <c r="A15" s="27">
        <v>46065.0</v>
      </c>
      <c r="B15" s="28">
        <v>10480.0</v>
      </c>
      <c r="C15" s="28">
        <v>11000.0</v>
      </c>
      <c r="D15" s="29">
        <f t="shared" si="1"/>
        <v>21480</v>
      </c>
      <c r="E15" s="28">
        <v>1800.0</v>
      </c>
      <c r="F15" s="28"/>
      <c r="G15" s="29"/>
      <c r="H15" s="28">
        <v>2770.0</v>
      </c>
    </row>
    <row r="16">
      <c r="A16" s="27">
        <v>46066.0</v>
      </c>
      <c r="B16" s="28">
        <v>11950.0</v>
      </c>
      <c r="C16" s="28">
        <v>16290.0</v>
      </c>
      <c r="D16" s="29">
        <f t="shared" si="1"/>
        <v>28240</v>
      </c>
      <c r="E16" s="28">
        <v>9548.0</v>
      </c>
      <c r="F16" s="28"/>
      <c r="G16" s="28"/>
      <c r="H16" s="28"/>
    </row>
    <row r="17">
      <c r="A17" s="27">
        <v>46067.0</v>
      </c>
      <c r="B17" s="28">
        <v>15900.0</v>
      </c>
      <c r="C17" s="28">
        <v>18409.0</v>
      </c>
      <c r="D17" s="29">
        <f t="shared" si="1"/>
        <v>34309</v>
      </c>
      <c r="E17" s="28">
        <v>33000.0</v>
      </c>
      <c r="F17" s="28"/>
      <c r="G17" s="29"/>
      <c r="H17" s="28">
        <v>2450.0</v>
      </c>
    </row>
    <row r="18">
      <c r="A18" s="27">
        <v>46068.0</v>
      </c>
      <c r="B18" s="28">
        <v>14010.0</v>
      </c>
      <c r="C18" s="28">
        <v>17580.0</v>
      </c>
      <c r="D18" s="29">
        <f t="shared" si="1"/>
        <v>31590</v>
      </c>
      <c r="E18" s="28"/>
      <c r="F18" s="28" t="s">
        <v>74</v>
      </c>
      <c r="G18" s="28">
        <v>10000.0</v>
      </c>
      <c r="H18" s="28"/>
    </row>
    <row r="19">
      <c r="A19" s="27">
        <v>46069.0</v>
      </c>
      <c r="B19" s="28">
        <v>14630.0</v>
      </c>
      <c r="C19" s="28">
        <v>11210.0</v>
      </c>
      <c r="D19" s="29">
        <f t="shared" si="1"/>
        <v>25840</v>
      </c>
      <c r="E19" s="28"/>
      <c r="F19" s="28"/>
      <c r="G19" s="29"/>
      <c r="H19" s="28"/>
    </row>
    <row r="20">
      <c r="A20" s="27">
        <v>46070.0</v>
      </c>
      <c r="B20" s="28">
        <v>11150.0</v>
      </c>
      <c r="C20" s="28">
        <v>19110.0</v>
      </c>
      <c r="D20" s="29">
        <f t="shared" si="1"/>
        <v>30260</v>
      </c>
      <c r="E20" s="28"/>
      <c r="F20" s="28"/>
      <c r="G20" s="28"/>
      <c r="H20" s="28"/>
    </row>
    <row r="21">
      <c r="A21" s="27">
        <v>46071.0</v>
      </c>
      <c r="B21" s="28">
        <v>12030.0</v>
      </c>
      <c r="C21" s="28">
        <v>7010.0</v>
      </c>
      <c r="D21" s="29">
        <f t="shared" si="1"/>
        <v>19040</v>
      </c>
      <c r="E21" s="28"/>
      <c r="F21" s="28"/>
      <c r="G21" s="28"/>
      <c r="H21" s="28"/>
    </row>
    <row r="22">
      <c r="A22" s="27">
        <v>46072.0</v>
      </c>
      <c r="B22" s="28">
        <v>14080.0</v>
      </c>
      <c r="C22" s="28">
        <v>16750.0</v>
      </c>
      <c r="D22" s="29">
        <f t="shared" si="1"/>
        <v>30830</v>
      </c>
      <c r="E22" s="28"/>
      <c r="F22" s="28"/>
      <c r="G22" s="28"/>
      <c r="H22" s="28"/>
    </row>
    <row r="23">
      <c r="A23" s="27">
        <v>46073.0</v>
      </c>
      <c r="B23" s="28">
        <v>12880.0</v>
      </c>
      <c r="C23" s="28">
        <v>15090.0</v>
      </c>
      <c r="D23" s="29">
        <f t="shared" si="1"/>
        <v>27970</v>
      </c>
      <c r="E23" s="28"/>
      <c r="F23" s="28"/>
      <c r="G23" s="24"/>
      <c r="H23" s="28"/>
    </row>
    <row r="24">
      <c r="A24" s="27">
        <v>46074.0</v>
      </c>
      <c r="B24" s="28">
        <v>15900.0</v>
      </c>
      <c r="C24" s="28">
        <v>10900.0</v>
      </c>
      <c r="D24" s="29">
        <f t="shared" si="1"/>
        <v>26800</v>
      </c>
      <c r="E24" s="28"/>
      <c r="F24" s="28"/>
      <c r="G24" s="29"/>
      <c r="H24" s="28"/>
    </row>
    <row r="25">
      <c r="A25" s="27">
        <v>46075.0</v>
      </c>
      <c r="B25" s="28">
        <v>19000.0</v>
      </c>
      <c r="C25" s="28">
        <v>11890.0</v>
      </c>
      <c r="D25" s="29">
        <f t="shared" si="1"/>
        <v>30890</v>
      </c>
      <c r="E25" s="28"/>
      <c r="F25" s="28"/>
      <c r="G25" s="29"/>
      <c r="H25" s="28"/>
    </row>
    <row r="26">
      <c r="A26" s="27">
        <v>46076.0</v>
      </c>
      <c r="B26" s="11">
        <v>16076.0</v>
      </c>
      <c r="C26" s="11">
        <v>16260.0</v>
      </c>
      <c r="D26" s="29">
        <f t="shared" si="1"/>
        <v>32336</v>
      </c>
      <c r="E26" s="28"/>
      <c r="F26" s="28"/>
      <c r="G26" s="29"/>
      <c r="H26" s="28"/>
    </row>
    <row r="27">
      <c r="A27" s="27">
        <v>46077.0</v>
      </c>
      <c r="B27" s="28">
        <v>11230.0</v>
      </c>
      <c r="C27" s="28">
        <v>14975.0</v>
      </c>
      <c r="D27" s="29">
        <f t="shared" si="1"/>
        <v>26205</v>
      </c>
      <c r="E27" s="28"/>
      <c r="F27" s="28"/>
      <c r="G27" s="29"/>
      <c r="H27" s="28"/>
    </row>
    <row r="28">
      <c r="A28" s="27">
        <v>46078.0</v>
      </c>
      <c r="B28" s="28">
        <v>13180.0</v>
      </c>
      <c r="C28" s="28">
        <v>17530.0</v>
      </c>
      <c r="D28" s="29">
        <f t="shared" si="1"/>
        <v>30710</v>
      </c>
      <c r="E28" s="28"/>
      <c r="F28" s="28"/>
      <c r="G28" s="28"/>
      <c r="H28" s="28">
        <v>730.0</v>
      </c>
    </row>
    <row r="29">
      <c r="A29" s="27">
        <v>46079.0</v>
      </c>
      <c r="B29" s="28">
        <v>14000.0</v>
      </c>
      <c r="C29" s="28">
        <v>22650.0</v>
      </c>
      <c r="D29" s="29">
        <f t="shared" si="1"/>
        <v>36650</v>
      </c>
      <c r="E29" s="30"/>
      <c r="F29" s="30"/>
      <c r="G29" s="29"/>
      <c r="H29" s="28"/>
    </row>
    <row r="30">
      <c r="A30" s="27">
        <v>46080.0</v>
      </c>
      <c r="B30" s="28">
        <v>18570.0</v>
      </c>
      <c r="C30" s="28">
        <v>13670.0</v>
      </c>
      <c r="D30" s="29">
        <f t="shared" si="1"/>
        <v>32240</v>
      </c>
      <c r="E30" s="30"/>
      <c r="F30" s="29"/>
      <c r="G30" s="29"/>
      <c r="H30" s="29"/>
    </row>
    <row r="31">
      <c r="A31" s="27">
        <v>46081.0</v>
      </c>
      <c r="B31" s="28">
        <v>13450.0</v>
      </c>
      <c r="C31" s="28">
        <v>18010.0</v>
      </c>
      <c r="D31" s="29">
        <f t="shared" si="1"/>
        <v>31460</v>
      </c>
      <c r="E31" s="30"/>
      <c r="F31" s="29"/>
      <c r="G31" s="29"/>
      <c r="H31" s="28">
        <v>2200.0</v>
      </c>
    </row>
    <row r="32">
      <c r="A32" s="27"/>
      <c r="B32" s="28"/>
      <c r="C32" s="28"/>
      <c r="D32" s="29"/>
      <c r="E32" s="30"/>
      <c r="F32" s="30"/>
      <c r="G32" s="29"/>
      <c r="H32" s="29"/>
    </row>
    <row r="33">
      <c r="A33" s="27"/>
      <c r="B33" s="28"/>
      <c r="C33" s="28"/>
      <c r="D33" s="29"/>
      <c r="E33" s="30"/>
      <c r="F33" s="30"/>
      <c r="G33" s="29"/>
      <c r="H33" s="29"/>
    </row>
    <row r="34">
      <c r="A34" s="27"/>
      <c r="B34" s="28"/>
      <c r="C34" s="28"/>
      <c r="D34" s="29"/>
      <c r="E34" s="29"/>
      <c r="F34" s="29"/>
      <c r="G34" s="29"/>
      <c r="H34" s="29"/>
    </row>
    <row r="35">
      <c r="A35" s="30"/>
      <c r="B35" s="29">
        <f t="shared" ref="B35:H35" si="2">SUM(B4:B34)</f>
        <v>326546</v>
      </c>
      <c r="C35" s="29">
        <f t="shared" si="2"/>
        <v>341424</v>
      </c>
      <c r="D35" s="29">
        <f t="shared" si="2"/>
        <v>667970</v>
      </c>
      <c r="E35" s="29">
        <f t="shared" si="2"/>
        <v>217454</v>
      </c>
      <c r="F35" s="29">
        <f t="shared" si="2"/>
        <v>0</v>
      </c>
      <c r="G35" s="29">
        <f t="shared" si="2"/>
        <v>18700</v>
      </c>
      <c r="H35" s="29">
        <f t="shared" si="2"/>
        <v>15550</v>
      </c>
    </row>
    <row r="36">
      <c r="A36" s="31"/>
      <c r="B36" s="31"/>
      <c r="C36" s="31"/>
      <c r="D36" s="31"/>
      <c r="E36" s="31"/>
      <c r="F36" s="32">
        <f>E35+G35</f>
        <v>236154</v>
      </c>
      <c r="G36" s="31"/>
      <c r="H36" s="31"/>
    </row>
    <row r="39">
      <c r="A39" s="23">
        <v>1.0</v>
      </c>
      <c r="B39" s="23">
        <v>12630.0</v>
      </c>
      <c r="C39" s="23">
        <v>15380.0</v>
      </c>
      <c r="D39" s="15">
        <f t="shared" ref="D39:D41" si="3">SUM(B39:C39)</f>
        <v>28010</v>
      </c>
      <c r="F39" s="23">
        <v>2250.0</v>
      </c>
    </row>
    <row r="40">
      <c r="A40" s="23">
        <v>2.0</v>
      </c>
      <c r="B40" s="23">
        <v>16450.0</v>
      </c>
      <c r="C40" s="23">
        <v>18202.0</v>
      </c>
      <c r="D40" s="15">
        <f t="shared" si="3"/>
        <v>34652</v>
      </c>
    </row>
    <row r="41">
      <c r="A41" s="23">
        <v>3.0</v>
      </c>
      <c r="B41" s="23">
        <v>8170.0</v>
      </c>
      <c r="C41" s="23">
        <v>16659.0</v>
      </c>
      <c r="D41" s="15">
        <f t="shared" si="3"/>
        <v>24829</v>
      </c>
    </row>
  </sheetData>
  <mergeCells count="1">
    <mergeCell ref="A1:H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63"/>
    <col customWidth="1" min="7" max="7" width="19.5"/>
    <col customWidth="1" min="8" max="8" width="17.75"/>
  </cols>
  <sheetData>
    <row r="1">
      <c r="A1" s="25" t="s">
        <v>71</v>
      </c>
      <c r="B1" s="2"/>
      <c r="C1" s="2"/>
      <c r="D1" s="2"/>
      <c r="E1" s="2"/>
      <c r="F1" s="2"/>
      <c r="G1" s="2"/>
      <c r="H1" s="2"/>
    </row>
    <row r="2">
      <c r="A2" s="3"/>
    </row>
    <row r="3">
      <c r="A3" s="26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6" t="s">
        <v>9</v>
      </c>
      <c r="G3" s="26" t="s">
        <v>10</v>
      </c>
      <c r="H3" s="26" t="s">
        <v>11</v>
      </c>
    </row>
    <row r="4">
      <c r="A4" s="27">
        <v>46082.0</v>
      </c>
      <c r="B4" s="11">
        <v>12630.0</v>
      </c>
      <c r="C4" s="11">
        <v>15380.0</v>
      </c>
      <c r="D4" s="29">
        <f t="shared" ref="D4:D34" si="1">SUM(B4:C4)</f>
        <v>28010</v>
      </c>
      <c r="E4" s="28">
        <v>30000.0</v>
      </c>
      <c r="F4" s="35" t="s">
        <v>13</v>
      </c>
      <c r="G4" s="28"/>
      <c r="H4" s="28"/>
    </row>
    <row r="5">
      <c r="A5" s="27">
        <v>46083.0</v>
      </c>
      <c r="B5" s="11">
        <v>16450.0</v>
      </c>
      <c r="C5" s="11">
        <v>18202.0</v>
      </c>
      <c r="D5" s="29">
        <f t="shared" si="1"/>
        <v>34652</v>
      </c>
      <c r="E5" s="28">
        <v>34000.0</v>
      </c>
      <c r="F5" s="37"/>
      <c r="G5" s="28"/>
      <c r="H5" s="28"/>
    </row>
    <row r="6">
      <c r="A6" s="27">
        <v>46084.0</v>
      </c>
      <c r="B6" s="11">
        <v>8170.0</v>
      </c>
      <c r="C6" s="11">
        <v>16659.0</v>
      </c>
      <c r="D6" s="29">
        <f t="shared" si="1"/>
        <v>24829</v>
      </c>
      <c r="E6" s="28">
        <v>65000.0</v>
      </c>
      <c r="F6" s="28" t="s">
        <v>14</v>
      </c>
      <c r="G6" s="28">
        <v>78000.0</v>
      </c>
      <c r="H6" s="28"/>
    </row>
    <row r="7">
      <c r="A7" s="27">
        <v>46085.0</v>
      </c>
      <c r="B7" s="28">
        <v>10050.0</v>
      </c>
      <c r="C7" s="28">
        <v>9630.0</v>
      </c>
      <c r="D7" s="29">
        <f t="shared" si="1"/>
        <v>19680</v>
      </c>
      <c r="E7" s="28">
        <v>8000.0</v>
      </c>
      <c r="F7" s="28" t="s">
        <v>75</v>
      </c>
      <c r="G7" s="28"/>
      <c r="H7" s="28"/>
    </row>
    <row r="8">
      <c r="A8" s="27">
        <v>46086.0</v>
      </c>
      <c r="B8" s="28">
        <v>14920.0</v>
      </c>
      <c r="C8" s="28">
        <v>13825.0</v>
      </c>
      <c r="D8" s="29">
        <f t="shared" si="1"/>
        <v>28745</v>
      </c>
      <c r="E8" s="28">
        <v>6000.0</v>
      </c>
      <c r="F8" s="28" t="s">
        <v>76</v>
      </c>
      <c r="G8" s="29"/>
      <c r="H8" s="28"/>
    </row>
    <row r="9">
      <c r="A9" s="27">
        <v>46087.0</v>
      </c>
      <c r="B9" s="28">
        <v>12220.0</v>
      </c>
      <c r="C9" s="28">
        <v>21880.0</v>
      </c>
      <c r="D9" s="29">
        <f t="shared" si="1"/>
        <v>34100</v>
      </c>
      <c r="E9" s="28">
        <v>55600.0</v>
      </c>
      <c r="F9" s="28" t="s">
        <v>13</v>
      </c>
      <c r="G9" s="28"/>
      <c r="H9" s="28"/>
    </row>
    <row r="10">
      <c r="A10" s="27">
        <v>46088.0</v>
      </c>
      <c r="B10" s="28">
        <v>7230.0</v>
      </c>
      <c r="C10" s="28">
        <v>19160.0</v>
      </c>
      <c r="D10" s="29">
        <f t="shared" si="1"/>
        <v>26390</v>
      </c>
      <c r="E10" s="28"/>
      <c r="F10" s="28" t="s">
        <v>32</v>
      </c>
      <c r="G10" s="28">
        <v>2000.0</v>
      </c>
      <c r="H10" s="28">
        <v>4170.0</v>
      </c>
    </row>
    <row r="11">
      <c r="A11" s="27">
        <v>46089.0</v>
      </c>
      <c r="B11" s="28">
        <v>10730.0</v>
      </c>
      <c r="C11" s="28">
        <v>18390.0</v>
      </c>
      <c r="D11" s="29">
        <f t="shared" si="1"/>
        <v>29120</v>
      </c>
      <c r="E11" s="28"/>
      <c r="F11" s="28" t="s">
        <v>78</v>
      </c>
      <c r="G11" s="28">
        <v>10000.0</v>
      </c>
      <c r="H11" s="28"/>
    </row>
    <row r="12">
      <c r="A12" s="27">
        <v>46090.0</v>
      </c>
      <c r="B12" s="28">
        <v>15500.0</v>
      </c>
      <c r="C12" s="28">
        <v>14160.0</v>
      </c>
      <c r="D12" s="29">
        <f t="shared" si="1"/>
        <v>29660</v>
      </c>
      <c r="E12" s="28"/>
      <c r="F12" s="28"/>
      <c r="G12" s="29"/>
      <c r="H12" s="28"/>
    </row>
    <row r="13">
      <c r="A13" s="27">
        <v>46091.0</v>
      </c>
      <c r="B13" s="28">
        <v>7850.0</v>
      </c>
      <c r="C13" s="28">
        <v>13480.0</v>
      </c>
      <c r="D13" s="29">
        <f t="shared" si="1"/>
        <v>21330</v>
      </c>
      <c r="E13" s="28"/>
      <c r="F13" s="28"/>
      <c r="G13" s="29"/>
      <c r="H13" s="28"/>
    </row>
    <row r="14">
      <c r="A14" s="27">
        <v>46092.0</v>
      </c>
      <c r="B14" s="28">
        <v>16250.0</v>
      </c>
      <c r="C14" s="28">
        <v>13050.0</v>
      </c>
      <c r="D14" s="29">
        <f t="shared" si="1"/>
        <v>29300</v>
      </c>
      <c r="E14" s="28"/>
      <c r="F14" s="28"/>
      <c r="G14" s="29"/>
      <c r="H14" s="28">
        <v>500.0</v>
      </c>
    </row>
    <row r="15">
      <c r="A15" s="27">
        <v>46093.0</v>
      </c>
      <c r="B15" s="28">
        <v>10640.0</v>
      </c>
      <c r="C15" s="28">
        <v>14700.0</v>
      </c>
      <c r="D15" s="29">
        <f t="shared" si="1"/>
        <v>25340</v>
      </c>
      <c r="E15" s="28"/>
      <c r="F15" s="28"/>
      <c r="G15" s="29"/>
      <c r="H15" s="28"/>
    </row>
    <row r="16">
      <c r="A16" s="27">
        <v>46094.0</v>
      </c>
      <c r="B16" s="28">
        <v>11670.0</v>
      </c>
      <c r="C16" s="28">
        <v>20780.0</v>
      </c>
      <c r="D16" s="29">
        <f t="shared" si="1"/>
        <v>32450</v>
      </c>
      <c r="E16" s="28"/>
      <c r="F16" s="28"/>
      <c r="G16" s="28"/>
      <c r="H16" s="28"/>
    </row>
    <row r="17">
      <c r="A17" s="27">
        <v>46095.0</v>
      </c>
      <c r="B17" s="28">
        <v>9910.0</v>
      </c>
      <c r="C17" s="28">
        <v>17020.0</v>
      </c>
      <c r="D17" s="29">
        <f t="shared" si="1"/>
        <v>26930</v>
      </c>
      <c r="E17" s="28"/>
      <c r="F17" s="28"/>
      <c r="G17" s="29"/>
      <c r="H17" s="28"/>
    </row>
    <row r="18">
      <c r="A18" s="27">
        <v>46096.0</v>
      </c>
      <c r="B18" s="28">
        <v>15820.0</v>
      </c>
      <c r="C18" s="28">
        <v>16650.0</v>
      </c>
      <c r="D18" s="29">
        <f t="shared" si="1"/>
        <v>32470</v>
      </c>
      <c r="E18" s="28"/>
      <c r="F18" s="28" t="s">
        <v>32</v>
      </c>
      <c r="G18" s="28">
        <v>2000.0</v>
      </c>
      <c r="H18" s="28">
        <v>1300.0</v>
      </c>
    </row>
    <row r="19">
      <c r="A19" s="27">
        <v>46097.0</v>
      </c>
      <c r="B19" s="28">
        <v>18150.0</v>
      </c>
      <c r="C19" s="28">
        <v>14350.0</v>
      </c>
      <c r="D19" s="29">
        <f t="shared" si="1"/>
        <v>32500</v>
      </c>
      <c r="E19" s="28">
        <v>10000.0</v>
      </c>
      <c r="F19" s="28" t="s">
        <v>82</v>
      </c>
      <c r="G19" s="29"/>
      <c r="H19" s="28"/>
    </row>
    <row r="20">
      <c r="A20" s="27">
        <v>46098.0</v>
      </c>
      <c r="B20" s="28">
        <v>9710.0</v>
      </c>
      <c r="C20" s="28">
        <v>18290.0</v>
      </c>
      <c r="D20" s="29">
        <f t="shared" si="1"/>
        <v>28000</v>
      </c>
      <c r="E20" s="28">
        <v>1600.0</v>
      </c>
      <c r="F20" s="28" t="s">
        <v>83</v>
      </c>
      <c r="G20" s="28"/>
      <c r="H20" s="28"/>
    </row>
    <row r="21">
      <c r="A21" s="27">
        <v>46099.0</v>
      </c>
      <c r="B21" s="28">
        <v>16000.0</v>
      </c>
      <c r="C21" s="28">
        <v>12700.0</v>
      </c>
      <c r="D21" s="29">
        <f t="shared" si="1"/>
        <v>28700</v>
      </c>
      <c r="E21" s="28"/>
      <c r="F21" s="28"/>
      <c r="G21" s="28"/>
      <c r="H21" s="28"/>
    </row>
    <row r="22">
      <c r="A22" s="27">
        <v>46100.0</v>
      </c>
      <c r="B22" s="28">
        <v>16670.0</v>
      </c>
      <c r="C22" s="28">
        <v>10410.0</v>
      </c>
      <c r="D22" s="29">
        <f t="shared" si="1"/>
        <v>27080</v>
      </c>
      <c r="E22" s="28"/>
      <c r="F22" s="28"/>
      <c r="G22" s="28"/>
      <c r="H22" s="28"/>
    </row>
    <row r="23">
      <c r="A23" s="27">
        <v>46101.0</v>
      </c>
      <c r="B23" s="28">
        <v>21100.0</v>
      </c>
      <c r="C23" s="28">
        <v>11510.0</v>
      </c>
      <c r="D23" s="29">
        <f t="shared" si="1"/>
        <v>32610</v>
      </c>
      <c r="E23" s="28"/>
      <c r="F23" s="28"/>
      <c r="G23" s="24"/>
      <c r="H23" s="28">
        <v>500.0</v>
      </c>
    </row>
    <row r="24">
      <c r="A24" s="27">
        <v>46102.0</v>
      </c>
      <c r="B24" s="28">
        <v>14270.0</v>
      </c>
      <c r="C24" s="28">
        <v>10240.0</v>
      </c>
      <c r="D24" s="29">
        <f t="shared" si="1"/>
        <v>24510</v>
      </c>
      <c r="E24" s="28"/>
      <c r="F24" s="28"/>
      <c r="G24" s="29"/>
      <c r="H24" s="28"/>
    </row>
    <row r="25">
      <c r="A25" s="27">
        <v>46103.0</v>
      </c>
      <c r="B25" s="28">
        <v>39000.0</v>
      </c>
      <c r="C25" s="28">
        <v>13560.0</v>
      </c>
      <c r="D25" s="29">
        <f t="shared" si="1"/>
        <v>52560</v>
      </c>
      <c r="E25" s="28"/>
      <c r="F25" s="28"/>
      <c r="G25" s="29"/>
      <c r="H25" s="28"/>
    </row>
    <row r="26">
      <c r="A26" s="27">
        <v>46104.0</v>
      </c>
      <c r="B26" s="11">
        <v>28450.0</v>
      </c>
      <c r="C26" s="11">
        <v>16700.0</v>
      </c>
      <c r="D26" s="29">
        <f t="shared" si="1"/>
        <v>45150</v>
      </c>
      <c r="E26" s="28"/>
      <c r="F26" s="28" t="s">
        <v>87</v>
      </c>
      <c r="G26" s="28">
        <v>12000.0</v>
      </c>
      <c r="H26" s="28"/>
    </row>
    <row r="27">
      <c r="A27" s="27">
        <v>46105.0</v>
      </c>
      <c r="B27" s="28">
        <v>23610.0</v>
      </c>
      <c r="C27" s="28">
        <v>14680.0</v>
      </c>
      <c r="D27" s="29">
        <f t="shared" si="1"/>
        <v>38290</v>
      </c>
      <c r="E27" s="28"/>
      <c r="F27" s="28"/>
      <c r="G27" s="29"/>
      <c r="H27" s="28"/>
    </row>
    <row r="28">
      <c r="A28" s="27">
        <v>46106.0</v>
      </c>
      <c r="B28" s="28">
        <v>23500.0</v>
      </c>
      <c r="C28" s="28">
        <v>11000.0</v>
      </c>
      <c r="D28" s="29">
        <f t="shared" si="1"/>
        <v>34500</v>
      </c>
      <c r="E28" s="28"/>
      <c r="F28" s="28"/>
      <c r="G28" s="28"/>
      <c r="H28" s="28"/>
    </row>
    <row r="29">
      <c r="A29" s="27">
        <v>46107.0</v>
      </c>
      <c r="B29" s="28">
        <v>18350.0</v>
      </c>
      <c r="C29" s="28">
        <v>16910.0</v>
      </c>
      <c r="D29" s="29">
        <f t="shared" si="1"/>
        <v>35260</v>
      </c>
      <c r="E29" s="30"/>
      <c r="F29" s="30"/>
      <c r="G29" s="29"/>
      <c r="H29" s="28"/>
    </row>
    <row r="30">
      <c r="A30" s="27">
        <v>46108.0</v>
      </c>
      <c r="B30" s="28">
        <v>18320.0</v>
      </c>
      <c r="C30" s="28">
        <v>4520.0</v>
      </c>
      <c r="D30" s="29">
        <f t="shared" si="1"/>
        <v>22840</v>
      </c>
      <c r="E30" s="30"/>
      <c r="F30" s="29"/>
      <c r="G30" s="29"/>
      <c r="H30" s="29"/>
    </row>
    <row r="31">
      <c r="A31" s="27">
        <v>46109.0</v>
      </c>
      <c r="B31" s="28">
        <v>16680.0</v>
      </c>
      <c r="C31" s="28">
        <v>8120.0</v>
      </c>
      <c r="D31" s="29">
        <f t="shared" si="1"/>
        <v>24800</v>
      </c>
      <c r="E31" s="28">
        <v>20018.0</v>
      </c>
      <c r="F31" s="28" t="s">
        <v>13</v>
      </c>
      <c r="G31" s="28">
        <v>16680.0</v>
      </c>
      <c r="H31" s="28"/>
    </row>
    <row r="32">
      <c r="A32" s="27">
        <v>46110.0</v>
      </c>
      <c r="B32" s="28">
        <v>18950.0</v>
      </c>
      <c r="C32" s="28">
        <v>16260.0</v>
      </c>
      <c r="D32" s="29">
        <f t="shared" si="1"/>
        <v>35210</v>
      </c>
      <c r="E32" s="30"/>
      <c r="F32" s="28" t="s">
        <v>89</v>
      </c>
      <c r="G32" s="28">
        <v>5000.0</v>
      </c>
      <c r="H32" s="29"/>
    </row>
    <row r="33">
      <c r="A33" s="27">
        <v>46111.0</v>
      </c>
      <c r="B33" s="28">
        <v>11500.0</v>
      </c>
      <c r="C33" s="28">
        <v>15226.0</v>
      </c>
      <c r="D33" s="29">
        <f t="shared" si="1"/>
        <v>26726</v>
      </c>
      <c r="E33" s="30"/>
      <c r="F33" s="30"/>
      <c r="G33" s="29"/>
      <c r="H33" s="28">
        <v>500.0</v>
      </c>
    </row>
    <row r="34">
      <c r="A34" s="27">
        <v>46112.0</v>
      </c>
      <c r="B34" s="28">
        <v>15000.0</v>
      </c>
      <c r="C34" s="28">
        <v>10400.0</v>
      </c>
      <c r="D34" s="29">
        <f t="shared" si="1"/>
        <v>25400</v>
      </c>
      <c r="E34" s="29"/>
      <c r="F34" s="29"/>
      <c r="G34" s="29"/>
      <c r="H34" s="29"/>
    </row>
    <row r="35">
      <c r="A35" s="30"/>
      <c r="B35" s="29">
        <f t="shared" ref="B35:H35" si="2">SUM(B4:B34)</f>
        <v>489300</v>
      </c>
      <c r="C35" s="29">
        <f t="shared" si="2"/>
        <v>447842</v>
      </c>
      <c r="D35" s="29">
        <f t="shared" si="2"/>
        <v>937142</v>
      </c>
      <c r="E35" s="29">
        <f t="shared" si="2"/>
        <v>230218</v>
      </c>
      <c r="F35" s="29">
        <f t="shared" si="2"/>
        <v>0</v>
      </c>
      <c r="G35" s="29">
        <f t="shared" si="2"/>
        <v>125680</v>
      </c>
      <c r="H35" s="29">
        <f t="shared" si="2"/>
        <v>6970</v>
      </c>
    </row>
    <row r="36">
      <c r="A36" s="31"/>
      <c r="B36" s="31"/>
      <c r="C36" s="31"/>
      <c r="D36" s="31"/>
      <c r="E36" s="31"/>
      <c r="F36" s="32">
        <f>E35+G35</f>
        <v>355898</v>
      </c>
      <c r="G36" s="31"/>
      <c r="H36" s="31"/>
    </row>
  </sheetData>
  <mergeCells count="2">
    <mergeCell ref="A1:H2"/>
    <mergeCell ref="F4:F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7" max="7" width="16.38"/>
    <col customWidth="1" min="8" max="8" width="16.5"/>
    <col customWidth="1" min="10" max="10" width="13.5"/>
  </cols>
  <sheetData>
    <row r="1">
      <c r="A1" s="25" t="s">
        <v>72</v>
      </c>
      <c r="B1" s="2"/>
      <c r="C1" s="2"/>
      <c r="D1" s="2"/>
      <c r="E1" s="2"/>
      <c r="F1" s="2"/>
      <c r="G1" s="2"/>
      <c r="H1" s="2"/>
    </row>
    <row r="2">
      <c r="A2" s="3"/>
    </row>
    <row r="3">
      <c r="A3" s="26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6" t="s">
        <v>9</v>
      </c>
      <c r="G3" s="26" t="s">
        <v>10</v>
      </c>
      <c r="H3" s="26" t="s">
        <v>11</v>
      </c>
    </row>
    <row r="4">
      <c r="A4" s="27">
        <v>46113.0</v>
      </c>
      <c r="B4" s="11">
        <v>12000.0</v>
      </c>
      <c r="C4" s="11">
        <v>15183.0</v>
      </c>
      <c r="D4" s="29">
        <f t="shared" ref="D4:D34" si="1">SUM(B4:C4)</f>
        <v>27183</v>
      </c>
      <c r="E4" s="28">
        <v>8400.0</v>
      </c>
      <c r="F4" s="28" t="s">
        <v>77</v>
      </c>
      <c r="G4" s="28"/>
      <c r="H4" s="28"/>
    </row>
    <row r="5">
      <c r="A5" s="27">
        <v>46114.0</v>
      </c>
      <c r="B5" s="11">
        <v>15550.0</v>
      </c>
      <c r="C5" s="11">
        <v>21924.0</v>
      </c>
      <c r="D5" s="29">
        <f t="shared" si="1"/>
        <v>37474</v>
      </c>
      <c r="E5" s="28"/>
      <c r="F5" s="28" t="s">
        <v>79</v>
      </c>
      <c r="G5" s="28">
        <v>3700.0</v>
      </c>
      <c r="H5" s="28">
        <v>3650.0</v>
      </c>
      <c r="J5" s="23" t="s">
        <v>80</v>
      </c>
    </row>
    <row r="6">
      <c r="A6" s="27">
        <v>46115.0</v>
      </c>
      <c r="B6" s="11">
        <v>17100.0</v>
      </c>
      <c r="C6" s="11">
        <v>25440.0</v>
      </c>
      <c r="D6" s="29">
        <f t="shared" si="1"/>
        <v>42540</v>
      </c>
      <c r="E6" s="28"/>
      <c r="F6" s="28"/>
      <c r="G6" s="28"/>
      <c r="H6" s="28"/>
      <c r="J6" s="23" t="s">
        <v>81</v>
      </c>
    </row>
    <row r="7">
      <c r="A7" s="27">
        <v>46116.0</v>
      </c>
      <c r="B7" s="28">
        <v>17300.0</v>
      </c>
      <c r="C7" s="28">
        <v>21170.0</v>
      </c>
      <c r="D7" s="29">
        <f t="shared" si="1"/>
        <v>38470</v>
      </c>
      <c r="E7" s="28"/>
      <c r="F7" s="28"/>
      <c r="G7" s="28"/>
      <c r="H7" s="28"/>
    </row>
    <row r="8">
      <c r="A8" s="27">
        <v>46117.0</v>
      </c>
      <c r="B8" s="28">
        <v>15200.0</v>
      </c>
      <c r="C8" s="28">
        <v>18610.0</v>
      </c>
      <c r="D8" s="29">
        <f t="shared" si="1"/>
        <v>33810</v>
      </c>
      <c r="E8" s="28"/>
      <c r="F8" s="28" t="s">
        <v>32</v>
      </c>
      <c r="G8" s="28">
        <v>2000.0</v>
      </c>
      <c r="H8" s="28"/>
    </row>
    <row r="9">
      <c r="A9" s="27">
        <v>46118.0</v>
      </c>
      <c r="B9" s="28">
        <v>24850.0</v>
      </c>
      <c r="C9" s="28">
        <v>12060.0</v>
      </c>
      <c r="D9" s="29">
        <f t="shared" si="1"/>
        <v>36910</v>
      </c>
      <c r="E9" s="28"/>
      <c r="F9" s="28" t="s">
        <v>84</v>
      </c>
      <c r="G9" s="28">
        <v>40000.0</v>
      </c>
      <c r="H9" s="28"/>
    </row>
    <row r="10">
      <c r="A10" s="27">
        <v>46119.0</v>
      </c>
      <c r="B10" s="28">
        <v>11950.0</v>
      </c>
      <c r="C10" s="28">
        <v>21088.0</v>
      </c>
      <c r="D10" s="29">
        <f t="shared" si="1"/>
        <v>33038</v>
      </c>
      <c r="E10" s="28"/>
      <c r="F10" s="28" t="s">
        <v>85</v>
      </c>
      <c r="G10" s="28">
        <v>45550.0</v>
      </c>
      <c r="H10" s="28"/>
    </row>
    <row r="11">
      <c r="A11" s="27">
        <v>46120.0</v>
      </c>
      <c r="B11" s="28">
        <v>16100.0</v>
      </c>
      <c r="C11" s="28">
        <v>18310.0</v>
      </c>
      <c r="D11" s="29">
        <f t="shared" si="1"/>
        <v>34410</v>
      </c>
      <c r="E11" s="28"/>
      <c r="F11" s="28" t="s">
        <v>29</v>
      </c>
      <c r="G11" s="28">
        <v>35000.0</v>
      </c>
      <c r="H11" s="28">
        <v>3360.0</v>
      </c>
    </row>
    <row r="12">
      <c r="A12" s="27">
        <v>46121.0</v>
      </c>
      <c r="B12" s="28">
        <v>19100.0</v>
      </c>
      <c r="C12" s="28">
        <v>13670.0</v>
      </c>
      <c r="D12" s="29">
        <f t="shared" si="1"/>
        <v>32770</v>
      </c>
      <c r="E12" s="28"/>
      <c r="F12" s="28" t="s">
        <v>86</v>
      </c>
      <c r="G12" s="28">
        <v>30000.0</v>
      </c>
      <c r="H12" s="28"/>
    </row>
    <row r="13">
      <c r="A13" s="27">
        <v>46122.0</v>
      </c>
      <c r="B13" s="28">
        <v>12050.0</v>
      </c>
      <c r="C13" s="28">
        <v>10097.0</v>
      </c>
      <c r="D13" s="29">
        <f t="shared" si="1"/>
        <v>22147</v>
      </c>
      <c r="E13" s="28"/>
      <c r="F13" s="28" t="s">
        <v>88</v>
      </c>
      <c r="G13" s="28">
        <v>25000.0</v>
      </c>
      <c r="H13" s="28"/>
    </row>
    <row r="14">
      <c r="A14" s="27">
        <v>46123.0</v>
      </c>
      <c r="B14" s="28">
        <v>20410.0</v>
      </c>
      <c r="C14" s="28">
        <v>12160.0</v>
      </c>
      <c r="D14" s="29">
        <f t="shared" si="1"/>
        <v>32570</v>
      </c>
      <c r="E14" s="28"/>
      <c r="F14" s="28" t="s">
        <v>13</v>
      </c>
      <c r="G14" s="28">
        <v>41208.0</v>
      </c>
      <c r="H14" s="28"/>
    </row>
    <row r="15">
      <c r="A15" s="27">
        <v>46124.0</v>
      </c>
      <c r="B15" s="28">
        <v>20000.0</v>
      </c>
      <c r="C15" s="28">
        <v>11600.0</v>
      </c>
      <c r="D15" s="29">
        <f t="shared" si="1"/>
        <v>31600</v>
      </c>
      <c r="E15" s="28"/>
      <c r="F15" s="28"/>
      <c r="G15" s="29"/>
      <c r="H15" s="28"/>
    </row>
    <row r="16">
      <c r="A16" s="27">
        <v>46125.0</v>
      </c>
      <c r="B16" s="28">
        <v>12410.0</v>
      </c>
      <c r="C16" s="28">
        <v>16750.0</v>
      </c>
      <c r="D16" s="29">
        <f t="shared" si="1"/>
        <v>29160</v>
      </c>
      <c r="E16" s="28"/>
      <c r="F16" s="28"/>
      <c r="G16" s="28"/>
      <c r="H16" s="28"/>
    </row>
    <row r="17">
      <c r="A17" s="27">
        <v>46126.0</v>
      </c>
      <c r="B17" s="28">
        <v>12550.0</v>
      </c>
      <c r="C17" s="28">
        <v>15550.0</v>
      </c>
      <c r="D17" s="29">
        <f t="shared" si="1"/>
        <v>28100</v>
      </c>
      <c r="E17" s="28"/>
      <c r="F17" s="28"/>
      <c r="G17" s="29"/>
      <c r="H17" s="28"/>
    </row>
    <row r="18">
      <c r="A18" s="27">
        <v>46127.0</v>
      </c>
      <c r="B18" s="28">
        <v>6610.0</v>
      </c>
      <c r="C18" s="28">
        <v>9745.0</v>
      </c>
      <c r="D18" s="29">
        <f t="shared" si="1"/>
        <v>16355</v>
      </c>
      <c r="E18" s="28"/>
      <c r="F18" s="28"/>
      <c r="G18" s="28"/>
      <c r="H18" s="28"/>
    </row>
    <row r="19">
      <c r="A19" s="27">
        <v>46128.0</v>
      </c>
      <c r="B19" s="28">
        <v>10950.0</v>
      </c>
      <c r="C19" s="28">
        <v>13080.0</v>
      </c>
      <c r="D19" s="29">
        <f t="shared" si="1"/>
        <v>24030</v>
      </c>
      <c r="E19" s="28"/>
      <c r="F19" s="28"/>
      <c r="G19" s="29"/>
      <c r="H19" s="28"/>
    </row>
    <row r="20">
      <c r="A20" s="27">
        <v>46129.0</v>
      </c>
      <c r="B20" s="28">
        <v>11450.0</v>
      </c>
      <c r="C20" s="28">
        <v>10369.0</v>
      </c>
      <c r="D20" s="29">
        <f t="shared" si="1"/>
        <v>21819</v>
      </c>
      <c r="E20" s="28"/>
      <c r="F20" s="28"/>
      <c r="G20" s="28"/>
      <c r="H20" s="28">
        <v>650.0</v>
      </c>
    </row>
    <row r="21">
      <c r="A21" s="27">
        <v>46130.0</v>
      </c>
      <c r="B21" s="28">
        <v>13850.0</v>
      </c>
      <c r="C21" s="28">
        <v>7200.0</v>
      </c>
      <c r="D21" s="29">
        <f t="shared" si="1"/>
        <v>21050</v>
      </c>
      <c r="E21" s="28"/>
      <c r="F21" s="28"/>
      <c r="G21" s="28"/>
      <c r="H21" s="28"/>
    </row>
    <row r="22">
      <c r="A22" s="27">
        <v>46131.0</v>
      </c>
      <c r="B22" s="28">
        <v>8900.0</v>
      </c>
      <c r="C22" s="28">
        <v>17110.0</v>
      </c>
      <c r="D22" s="29">
        <f t="shared" si="1"/>
        <v>26010</v>
      </c>
      <c r="E22" s="28"/>
      <c r="F22" s="28"/>
      <c r="G22" s="28"/>
      <c r="H22" s="28"/>
    </row>
    <row r="23">
      <c r="A23" s="27">
        <v>46132.0</v>
      </c>
      <c r="B23" s="28">
        <v>9690.0</v>
      </c>
      <c r="C23" s="28">
        <v>10880.0</v>
      </c>
      <c r="D23" s="29">
        <f t="shared" si="1"/>
        <v>20570</v>
      </c>
      <c r="E23" s="28"/>
      <c r="F23" s="28"/>
      <c r="G23" s="24"/>
      <c r="H23" s="28"/>
    </row>
    <row r="24">
      <c r="A24" s="27">
        <v>46133.0</v>
      </c>
      <c r="B24" s="28">
        <v>9000.0</v>
      </c>
      <c r="C24" s="28">
        <v>6921.0</v>
      </c>
      <c r="D24" s="29">
        <f t="shared" si="1"/>
        <v>15921</v>
      </c>
      <c r="E24" s="28"/>
      <c r="F24" s="28"/>
      <c r="G24" s="29"/>
      <c r="H24" s="28"/>
    </row>
    <row r="25">
      <c r="A25" s="27">
        <v>46134.0</v>
      </c>
      <c r="B25" s="28">
        <v>12000.0</v>
      </c>
      <c r="C25" s="28">
        <v>10196.0</v>
      </c>
      <c r="D25" s="29">
        <f t="shared" si="1"/>
        <v>22196</v>
      </c>
      <c r="E25" s="28"/>
      <c r="F25" s="28"/>
      <c r="G25" s="29"/>
      <c r="H25" s="28"/>
    </row>
    <row r="26">
      <c r="A26" s="27">
        <v>46135.0</v>
      </c>
      <c r="B26" s="11">
        <v>12060.0</v>
      </c>
      <c r="C26" s="11">
        <v>7820.0</v>
      </c>
      <c r="D26" s="29">
        <f t="shared" si="1"/>
        <v>19880</v>
      </c>
      <c r="E26" s="28"/>
      <c r="F26" s="28"/>
      <c r="G26" s="28"/>
      <c r="H26" s="28">
        <v>2280.0</v>
      </c>
    </row>
    <row r="27">
      <c r="A27" s="27">
        <v>46136.0</v>
      </c>
      <c r="B27" s="28">
        <v>10320.0</v>
      </c>
      <c r="C27" s="28">
        <v>7540.0</v>
      </c>
      <c r="D27" s="29">
        <f t="shared" si="1"/>
        <v>17860</v>
      </c>
      <c r="E27" s="28"/>
      <c r="F27" s="28"/>
      <c r="G27" s="29"/>
      <c r="H27" s="28">
        <v>1450.0</v>
      </c>
    </row>
    <row r="28">
      <c r="A28" s="27">
        <v>46137.0</v>
      </c>
      <c r="B28" s="28">
        <v>11310.0</v>
      </c>
      <c r="C28" s="28">
        <v>6670.0</v>
      </c>
      <c r="D28" s="29">
        <f t="shared" si="1"/>
        <v>17980</v>
      </c>
      <c r="E28" s="28"/>
      <c r="F28" s="28"/>
      <c r="G28" s="28"/>
      <c r="H28" s="28"/>
    </row>
    <row r="29">
      <c r="A29" s="27">
        <v>46138.0</v>
      </c>
      <c r="B29" s="28">
        <v>7280.0</v>
      </c>
      <c r="C29" s="28">
        <v>9790.0</v>
      </c>
      <c r="D29" s="29">
        <f t="shared" si="1"/>
        <v>17070</v>
      </c>
      <c r="E29" s="30"/>
      <c r="F29" s="30"/>
      <c r="G29" s="29"/>
      <c r="H29" s="28"/>
    </row>
    <row r="30">
      <c r="A30" s="27">
        <v>46139.0</v>
      </c>
      <c r="B30" s="28">
        <v>14450.0</v>
      </c>
      <c r="C30" s="28">
        <v>10256.0</v>
      </c>
      <c r="D30" s="29">
        <f t="shared" si="1"/>
        <v>24706</v>
      </c>
      <c r="E30" s="30"/>
      <c r="F30" s="29"/>
      <c r="G30" s="29"/>
      <c r="H30" s="29"/>
    </row>
    <row r="31">
      <c r="A31" s="27">
        <v>46140.0</v>
      </c>
      <c r="B31" s="28">
        <v>16050.0</v>
      </c>
      <c r="C31" s="28">
        <v>8620.0</v>
      </c>
      <c r="D31" s="29">
        <f t="shared" si="1"/>
        <v>24670</v>
      </c>
      <c r="E31" s="28"/>
      <c r="F31" s="28"/>
      <c r="G31" s="28"/>
      <c r="H31" s="28"/>
    </row>
    <row r="32">
      <c r="A32" s="27">
        <v>46141.0</v>
      </c>
      <c r="B32" s="28">
        <v>9770.0</v>
      </c>
      <c r="C32" s="28">
        <v>6410.0</v>
      </c>
      <c r="D32" s="29">
        <f t="shared" si="1"/>
        <v>16180</v>
      </c>
      <c r="E32" s="30"/>
      <c r="F32" s="28"/>
      <c r="G32" s="28"/>
      <c r="H32" s="29"/>
    </row>
    <row r="33">
      <c r="A33" s="27">
        <v>46142.0</v>
      </c>
      <c r="B33" s="28">
        <v>10150.0</v>
      </c>
      <c r="C33" s="28">
        <v>8259.0</v>
      </c>
      <c r="D33" s="29">
        <f t="shared" si="1"/>
        <v>18409</v>
      </c>
      <c r="E33" s="30"/>
      <c r="F33" s="30"/>
      <c r="G33" s="29"/>
      <c r="H33" s="28"/>
    </row>
    <row r="34">
      <c r="A34" s="27"/>
      <c r="B34" s="28"/>
      <c r="C34" s="28"/>
      <c r="D34" s="29">
        <f t="shared" si="1"/>
        <v>0</v>
      </c>
      <c r="E34" s="29"/>
      <c r="F34" s="29"/>
      <c r="G34" s="29"/>
      <c r="H34" s="29"/>
    </row>
    <row r="35">
      <c r="A35" s="30"/>
      <c r="B35" s="29">
        <f t="shared" ref="B35:H35" si="2">SUM(B4:B34)</f>
        <v>400410</v>
      </c>
      <c r="C35" s="29">
        <f t="shared" si="2"/>
        <v>384478</v>
      </c>
      <c r="D35" s="29">
        <f t="shared" si="2"/>
        <v>784888</v>
      </c>
      <c r="E35" s="29">
        <f t="shared" si="2"/>
        <v>8400</v>
      </c>
      <c r="F35" s="29">
        <f t="shared" si="2"/>
        <v>0</v>
      </c>
      <c r="G35" s="29">
        <f t="shared" si="2"/>
        <v>222458</v>
      </c>
      <c r="H35" s="29">
        <f t="shared" si="2"/>
        <v>11390</v>
      </c>
    </row>
    <row r="36">
      <c r="A36" s="31"/>
      <c r="B36" s="31"/>
      <c r="C36" s="31"/>
      <c r="D36" s="31"/>
      <c r="E36" s="31"/>
      <c r="F36" s="32">
        <f>E35+G35</f>
        <v>230858</v>
      </c>
      <c r="G36" s="31"/>
      <c r="H36" s="31"/>
    </row>
    <row r="38">
      <c r="B38" s="23">
        <v>6800.0</v>
      </c>
      <c r="C38" s="23">
        <v>14180.0</v>
      </c>
      <c r="D38" s="15">
        <f t="shared" ref="D38:D47" si="3">B38+C38</f>
        <v>20980</v>
      </c>
      <c r="F38" s="23">
        <v>2000.0</v>
      </c>
    </row>
    <row r="39">
      <c r="B39" s="23">
        <v>7000.0</v>
      </c>
      <c r="C39" s="23">
        <v>5100.0</v>
      </c>
      <c r="D39" s="15">
        <f t="shared" si="3"/>
        <v>12100</v>
      </c>
      <c r="F39" s="23">
        <v>2000.0</v>
      </c>
    </row>
    <row r="40">
      <c r="B40" s="23">
        <v>10200.0</v>
      </c>
      <c r="C40" s="23">
        <v>13210.0</v>
      </c>
      <c r="D40" s="15">
        <f t="shared" si="3"/>
        <v>23410</v>
      </c>
      <c r="F40" s="23">
        <v>2040.0</v>
      </c>
    </row>
    <row r="41">
      <c r="B41" s="23">
        <v>9530.0</v>
      </c>
      <c r="C41" s="23">
        <v>5810.0</v>
      </c>
      <c r="D41" s="15">
        <f t="shared" si="3"/>
        <v>15340</v>
      </c>
    </row>
    <row r="42">
      <c r="D42" s="15">
        <f t="shared" si="3"/>
        <v>0</v>
      </c>
    </row>
    <row r="43">
      <c r="B43" s="23">
        <v>14150.0</v>
      </c>
      <c r="C43" s="23">
        <v>18030.0</v>
      </c>
      <c r="D43" s="15">
        <f t="shared" si="3"/>
        <v>32180</v>
      </c>
    </row>
    <row r="44">
      <c r="B44" s="23">
        <v>8500.0</v>
      </c>
      <c r="C44" s="23">
        <v>15998.0</v>
      </c>
      <c r="D44" s="15">
        <f t="shared" si="3"/>
        <v>24498</v>
      </c>
    </row>
    <row r="45">
      <c r="B45" s="23">
        <v>16600.0</v>
      </c>
      <c r="C45" s="23">
        <v>17240.0</v>
      </c>
      <c r="D45" s="15">
        <f t="shared" si="3"/>
        <v>33840</v>
      </c>
    </row>
    <row r="46">
      <c r="B46" s="23">
        <v>11000.0</v>
      </c>
      <c r="C46" s="23">
        <v>15090.0</v>
      </c>
      <c r="D46" s="15">
        <f t="shared" si="3"/>
        <v>26090</v>
      </c>
    </row>
    <row r="47">
      <c r="B47" s="23">
        <v>14700.0</v>
      </c>
      <c r="C47" s="23">
        <v>18445.0</v>
      </c>
      <c r="D47" s="15">
        <f t="shared" si="3"/>
        <v>33145</v>
      </c>
    </row>
  </sheetData>
  <mergeCells count="1">
    <mergeCell ref="A1:H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7" max="7" width="16.38"/>
    <col customWidth="1" min="8" max="8" width="16.5"/>
  </cols>
  <sheetData>
    <row r="1">
      <c r="A1" s="25" t="s">
        <v>90</v>
      </c>
      <c r="B1" s="2"/>
      <c r="C1" s="2"/>
      <c r="D1" s="2"/>
      <c r="E1" s="2"/>
      <c r="F1" s="2"/>
      <c r="G1" s="2"/>
      <c r="H1" s="2"/>
    </row>
    <row r="2">
      <c r="A2" s="3"/>
    </row>
    <row r="3">
      <c r="A3" s="26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6" t="s">
        <v>9</v>
      </c>
      <c r="G3" s="26" t="s">
        <v>10</v>
      </c>
      <c r="H3" s="26" t="s">
        <v>11</v>
      </c>
    </row>
    <row r="4">
      <c r="A4" s="27">
        <v>46143.0</v>
      </c>
      <c r="B4" s="11">
        <v>6800.0</v>
      </c>
      <c r="C4" s="11">
        <v>14180.0</v>
      </c>
      <c r="D4" s="13">
        <f t="shared" ref="D4:D13" si="1">B4+C4</f>
        <v>20980</v>
      </c>
      <c r="E4" s="28">
        <v>550.0</v>
      </c>
      <c r="F4" s="28" t="s">
        <v>13</v>
      </c>
      <c r="G4" s="28">
        <v>39000.0</v>
      </c>
      <c r="H4" s="28">
        <v>2000.0</v>
      </c>
    </row>
    <row r="5">
      <c r="A5" s="27">
        <v>46144.0</v>
      </c>
      <c r="B5" s="11">
        <v>7000.0</v>
      </c>
      <c r="C5" s="11">
        <v>5100.0</v>
      </c>
      <c r="D5" s="13">
        <f t="shared" si="1"/>
        <v>12100</v>
      </c>
      <c r="E5" s="28">
        <v>41660.0</v>
      </c>
      <c r="F5" s="28" t="s">
        <v>13</v>
      </c>
      <c r="G5" s="28">
        <v>28850.0</v>
      </c>
      <c r="H5" s="28">
        <v>2000.0</v>
      </c>
    </row>
    <row r="6">
      <c r="A6" s="27">
        <v>46145.0</v>
      </c>
      <c r="B6" s="11">
        <v>10200.0</v>
      </c>
      <c r="C6" s="11">
        <v>13210.0</v>
      </c>
      <c r="D6" s="13">
        <f t="shared" si="1"/>
        <v>23410</v>
      </c>
      <c r="E6" s="28">
        <v>45697.0</v>
      </c>
      <c r="F6" s="28" t="s">
        <v>13</v>
      </c>
      <c r="G6" s="28">
        <v>24250.0</v>
      </c>
      <c r="H6" s="28">
        <v>2040.0</v>
      </c>
    </row>
    <row r="7">
      <c r="A7" s="27">
        <v>46146.0</v>
      </c>
      <c r="B7" s="11">
        <v>9530.0</v>
      </c>
      <c r="C7" s="11">
        <v>5810.0</v>
      </c>
      <c r="D7" s="13">
        <f t="shared" si="1"/>
        <v>15340</v>
      </c>
      <c r="E7" s="28">
        <v>149000.0</v>
      </c>
      <c r="F7" s="28" t="s">
        <v>14</v>
      </c>
      <c r="G7" s="28"/>
      <c r="H7" s="28">
        <v>1000.0</v>
      </c>
    </row>
    <row r="8">
      <c r="A8" s="27">
        <v>46147.0</v>
      </c>
      <c r="B8" s="38">
        <v>0.0</v>
      </c>
      <c r="C8" s="38">
        <v>0.0</v>
      </c>
      <c r="D8" s="39">
        <f t="shared" si="1"/>
        <v>0</v>
      </c>
      <c r="E8" s="34"/>
      <c r="F8" s="34"/>
      <c r="G8" s="34"/>
      <c r="H8" s="34"/>
    </row>
    <row r="9">
      <c r="A9" s="27">
        <v>46148.0</v>
      </c>
      <c r="B9" s="11">
        <v>14150.0</v>
      </c>
      <c r="C9" s="11">
        <v>18030.0</v>
      </c>
      <c r="D9" s="13">
        <f t="shared" si="1"/>
        <v>32180</v>
      </c>
      <c r="E9" s="28">
        <v>5182.0</v>
      </c>
      <c r="F9" s="28" t="s">
        <v>13</v>
      </c>
      <c r="G9" s="28">
        <v>45200.0</v>
      </c>
      <c r="H9" s="28"/>
    </row>
    <row r="10">
      <c r="A10" s="27">
        <v>46149.0</v>
      </c>
      <c r="B10" s="11">
        <v>8500.0</v>
      </c>
      <c r="C10" s="11">
        <v>15998.0</v>
      </c>
      <c r="D10" s="13">
        <f t="shared" si="1"/>
        <v>24498</v>
      </c>
      <c r="E10" s="28">
        <v>3000.0</v>
      </c>
      <c r="F10" s="28" t="s">
        <v>92</v>
      </c>
      <c r="G10" s="28"/>
      <c r="H10" s="28"/>
    </row>
    <row r="11">
      <c r="A11" s="27">
        <v>46150.0</v>
      </c>
      <c r="B11" s="11">
        <v>16600.0</v>
      </c>
      <c r="C11" s="11">
        <v>17240.0</v>
      </c>
      <c r="D11" s="13">
        <f t="shared" si="1"/>
        <v>33840</v>
      </c>
      <c r="E11" s="28">
        <v>35000.0</v>
      </c>
      <c r="F11" s="28" t="s">
        <v>29</v>
      </c>
      <c r="G11" s="28"/>
      <c r="H11" s="28"/>
    </row>
    <row r="12">
      <c r="A12" s="27">
        <v>46151.0</v>
      </c>
      <c r="B12" s="11">
        <v>11000.0</v>
      </c>
      <c r="C12" s="11">
        <v>15090.0</v>
      </c>
      <c r="D12" s="13">
        <f t="shared" si="1"/>
        <v>26090</v>
      </c>
      <c r="E12" s="28">
        <v>20000.0</v>
      </c>
      <c r="F12" s="28" t="s">
        <v>93</v>
      </c>
      <c r="G12" s="28"/>
      <c r="H12" s="28"/>
    </row>
    <row r="13">
      <c r="A13" s="27">
        <v>46152.0</v>
      </c>
      <c r="B13" s="11">
        <v>14700.0</v>
      </c>
      <c r="C13" s="11">
        <v>18445.0</v>
      </c>
      <c r="D13" s="13">
        <f t="shared" si="1"/>
        <v>33145</v>
      </c>
      <c r="E13" s="28">
        <v>15000.0</v>
      </c>
      <c r="F13" s="28" t="s">
        <v>64</v>
      </c>
      <c r="G13" s="28"/>
      <c r="H13" s="28"/>
    </row>
    <row r="14">
      <c r="A14" s="27">
        <v>46153.0</v>
      </c>
      <c r="B14" s="28">
        <v>10250.0</v>
      </c>
      <c r="C14" s="28">
        <v>14160.0</v>
      </c>
      <c r="D14" s="29">
        <f t="shared" ref="D14:D34" si="2">SUM(B14:C14)</f>
        <v>24410</v>
      </c>
      <c r="E14" s="28">
        <v>13000.0</v>
      </c>
      <c r="F14" s="28" t="s">
        <v>96</v>
      </c>
      <c r="G14" s="28"/>
      <c r="H14" s="28"/>
    </row>
    <row r="15">
      <c r="A15" s="27">
        <v>46154.0</v>
      </c>
      <c r="B15" s="28">
        <v>15650.0</v>
      </c>
      <c r="C15" s="28">
        <v>11510.0</v>
      </c>
      <c r="D15" s="29">
        <f t="shared" si="2"/>
        <v>27160</v>
      </c>
      <c r="E15" s="28"/>
      <c r="F15" s="28"/>
      <c r="G15" s="29"/>
      <c r="H15" s="28"/>
    </row>
    <row r="16">
      <c r="A16" s="27">
        <v>46155.0</v>
      </c>
      <c r="B16" s="28">
        <v>23500.0</v>
      </c>
      <c r="C16" s="28">
        <v>14430.0</v>
      </c>
      <c r="D16" s="29">
        <f t="shared" si="2"/>
        <v>37930</v>
      </c>
      <c r="E16" s="28"/>
      <c r="F16" s="28"/>
      <c r="G16" s="28"/>
      <c r="H16" s="28"/>
    </row>
    <row r="17">
      <c r="A17" s="27">
        <v>46156.0</v>
      </c>
      <c r="B17" s="28">
        <v>13360.0</v>
      </c>
      <c r="C17" s="28">
        <v>23640.0</v>
      </c>
      <c r="D17" s="29">
        <f t="shared" si="2"/>
        <v>37000</v>
      </c>
      <c r="E17" s="28"/>
      <c r="F17" s="28"/>
      <c r="G17" s="29"/>
      <c r="H17" s="28"/>
    </row>
    <row r="18">
      <c r="A18" s="27">
        <v>46157.0</v>
      </c>
      <c r="B18" s="28">
        <v>15500.0</v>
      </c>
      <c r="C18" s="28">
        <v>22550.0</v>
      </c>
      <c r="D18" s="29">
        <f t="shared" si="2"/>
        <v>38050</v>
      </c>
      <c r="E18" s="28"/>
      <c r="F18" s="28"/>
      <c r="G18" s="28"/>
      <c r="H18" s="28"/>
    </row>
    <row r="19">
      <c r="A19" s="27">
        <v>46158.0</v>
      </c>
      <c r="B19" s="28">
        <v>15250.0</v>
      </c>
      <c r="C19" s="28">
        <v>15990.0</v>
      </c>
      <c r="D19" s="29">
        <f t="shared" si="2"/>
        <v>31240</v>
      </c>
      <c r="E19" s="28"/>
      <c r="F19" s="28"/>
      <c r="G19" s="29"/>
      <c r="H19" s="28"/>
    </row>
    <row r="20">
      <c r="A20" s="27">
        <v>46159.0</v>
      </c>
      <c r="B20" s="28">
        <v>14550.0</v>
      </c>
      <c r="C20" s="28">
        <v>19670.0</v>
      </c>
      <c r="D20" s="29">
        <f t="shared" si="2"/>
        <v>34220</v>
      </c>
      <c r="E20" s="28"/>
      <c r="F20" s="28"/>
      <c r="G20" s="28"/>
      <c r="H20" s="28"/>
    </row>
    <row r="21">
      <c r="A21" s="27">
        <v>46160.0</v>
      </c>
      <c r="B21" s="28">
        <v>14650.0</v>
      </c>
      <c r="C21" s="28">
        <v>21630.0</v>
      </c>
      <c r="D21" s="29">
        <f t="shared" si="2"/>
        <v>36280</v>
      </c>
      <c r="E21" s="28"/>
      <c r="F21" s="28"/>
      <c r="G21" s="28"/>
      <c r="H21" s="28"/>
    </row>
    <row r="22">
      <c r="A22" s="27">
        <v>46161.0</v>
      </c>
      <c r="B22" s="28">
        <v>15200.0</v>
      </c>
      <c r="C22" s="28">
        <v>12870.0</v>
      </c>
      <c r="D22" s="29">
        <f t="shared" si="2"/>
        <v>28070</v>
      </c>
      <c r="E22" s="28"/>
      <c r="F22" s="28"/>
      <c r="G22" s="28"/>
      <c r="H22" s="28"/>
    </row>
    <row r="23">
      <c r="A23" s="27">
        <v>46162.0</v>
      </c>
      <c r="B23" s="28">
        <v>18250.0</v>
      </c>
      <c r="C23" s="28">
        <v>21500.0</v>
      </c>
      <c r="D23" s="29">
        <f t="shared" si="2"/>
        <v>39750</v>
      </c>
      <c r="E23" s="28"/>
      <c r="F23" s="28"/>
      <c r="G23" s="24"/>
      <c r="H23" s="28"/>
    </row>
    <row r="24">
      <c r="A24" s="27">
        <v>46163.0</v>
      </c>
      <c r="B24" s="28">
        <v>12450.0</v>
      </c>
      <c r="C24" s="28">
        <v>20040.0</v>
      </c>
      <c r="D24" s="29">
        <f t="shared" si="2"/>
        <v>32490</v>
      </c>
      <c r="E24" s="28"/>
      <c r="F24" s="28"/>
      <c r="G24" s="29"/>
      <c r="H24" s="28"/>
    </row>
    <row r="25">
      <c r="A25" s="27">
        <v>46164.0</v>
      </c>
      <c r="B25" s="28">
        <v>15500.0</v>
      </c>
      <c r="C25" s="28">
        <v>23770.0</v>
      </c>
      <c r="D25" s="29">
        <f t="shared" si="2"/>
        <v>39270</v>
      </c>
      <c r="E25" s="28"/>
      <c r="F25" s="28"/>
      <c r="G25" s="29"/>
      <c r="H25" s="28"/>
    </row>
    <row r="26">
      <c r="A26" s="27">
        <v>46165.0</v>
      </c>
      <c r="B26" s="11">
        <v>11500.0</v>
      </c>
      <c r="C26" s="11">
        <v>16710.0</v>
      </c>
      <c r="D26" s="29">
        <f t="shared" si="2"/>
        <v>28210</v>
      </c>
      <c r="E26" s="28"/>
      <c r="F26" s="28"/>
      <c r="G26" s="28"/>
      <c r="H26" s="28"/>
    </row>
    <row r="27">
      <c r="A27" s="27">
        <v>46166.0</v>
      </c>
      <c r="B27" s="28">
        <v>20159.0</v>
      </c>
      <c r="C27" s="28">
        <v>13408.0</v>
      </c>
      <c r="D27" s="29">
        <f t="shared" si="2"/>
        <v>33567</v>
      </c>
      <c r="E27" s="28"/>
      <c r="F27" s="28"/>
      <c r="G27" s="29"/>
      <c r="H27" s="28"/>
    </row>
    <row r="28">
      <c r="A28" s="27">
        <v>46167.0</v>
      </c>
      <c r="B28" s="28">
        <v>19550.0</v>
      </c>
      <c r="C28" s="28">
        <v>13450.0</v>
      </c>
      <c r="D28" s="29">
        <f t="shared" si="2"/>
        <v>33000</v>
      </c>
      <c r="E28" s="28"/>
      <c r="F28" s="28"/>
      <c r="G28" s="28"/>
      <c r="H28" s="28"/>
    </row>
    <row r="29">
      <c r="A29" s="27">
        <v>46168.0</v>
      </c>
      <c r="B29" s="28">
        <v>17050.0</v>
      </c>
      <c r="C29" s="28">
        <v>6497.0</v>
      </c>
      <c r="D29" s="29">
        <f t="shared" si="2"/>
        <v>23547</v>
      </c>
      <c r="E29" s="30"/>
      <c r="F29" s="30"/>
      <c r="G29" s="29"/>
      <c r="H29" s="28"/>
    </row>
    <row r="30">
      <c r="A30" s="27">
        <v>46169.0</v>
      </c>
      <c r="B30" s="34">
        <v>0.0</v>
      </c>
      <c r="C30" s="34">
        <v>0.0</v>
      </c>
      <c r="D30" s="36">
        <f t="shared" si="2"/>
        <v>0</v>
      </c>
      <c r="E30" s="42"/>
      <c r="F30" s="36"/>
      <c r="G30" s="36"/>
      <c r="H30" s="36"/>
    </row>
    <row r="31">
      <c r="A31" s="27">
        <v>46170.0</v>
      </c>
      <c r="B31" s="34">
        <v>0.0</v>
      </c>
      <c r="C31" s="34">
        <v>0.0</v>
      </c>
      <c r="D31" s="36">
        <f t="shared" si="2"/>
        <v>0</v>
      </c>
      <c r="E31" s="34"/>
      <c r="F31" s="34"/>
      <c r="G31" s="34"/>
      <c r="H31" s="34"/>
    </row>
    <row r="32">
      <c r="A32" s="27">
        <v>46171.0</v>
      </c>
      <c r="B32" s="34">
        <v>0.0</v>
      </c>
      <c r="C32" s="34">
        <v>0.0</v>
      </c>
      <c r="D32" s="36">
        <f t="shared" si="2"/>
        <v>0</v>
      </c>
      <c r="E32" s="42"/>
      <c r="F32" s="34"/>
      <c r="G32" s="34"/>
      <c r="H32" s="36"/>
    </row>
    <row r="33">
      <c r="A33" s="27">
        <v>46172.0</v>
      </c>
      <c r="B33" s="28">
        <v>14000.0</v>
      </c>
      <c r="C33" s="28">
        <v>11690.0</v>
      </c>
      <c r="D33" s="29">
        <f t="shared" si="2"/>
        <v>25690</v>
      </c>
      <c r="E33" s="30"/>
      <c r="F33" s="30"/>
      <c r="G33" s="29"/>
      <c r="H33" s="28"/>
    </row>
    <row r="34">
      <c r="A34" s="27">
        <v>46173.0</v>
      </c>
      <c r="B34" s="28">
        <v>17500.0</v>
      </c>
      <c r="C34" s="28">
        <v>11170.0</v>
      </c>
      <c r="D34" s="29">
        <f t="shared" si="2"/>
        <v>28670</v>
      </c>
      <c r="E34" s="29"/>
      <c r="F34" s="29"/>
      <c r="G34" s="29"/>
      <c r="H34" s="29"/>
    </row>
    <row r="35">
      <c r="A35" s="30"/>
      <c r="B35" s="29">
        <f t="shared" ref="B35:H35" si="3">SUM(B4:B34)</f>
        <v>382349</v>
      </c>
      <c r="C35" s="29">
        <f t="shared" si="3"/>
        <v>417788</v>
      </c>
      <c r="D35" s="29">
        <f t="shared" si="3"/>
        <v>800137</v>
      </c>
      <c r="E35" s="29">
        <f t="shared" si="3"/>
        <v>328089</v>
      </c>
      <c r="F35" s="29">
        <f t="shared" si="3"/>
        <v>0</v>
      </c>
      <c r="G35" s="29">
        <f t="shared" si="3"/>
        <v>137300</v>
      </c>
      <c r="H35" s="29">
        <f t="shared" si="3"/>
        <v>7040</v>
      </c>
    </row>
    <row r="36">
      <c r="A36" s="31"/>
      <c r="B36" s="31"/>
      <c r="C36" s="31"/>
      <c r="D36" s="31"/>
      <c r="E36" s="31"/>
      <c r="F36" s="32">
        <f>E35+G35</f>
        <v>465389</v>
      </c>
      <c r="G36" s="31"/>
      <c r="H36" s="31"/>
    </row>
  </sheetData>
  <mergeCells count="1">
    <mergeCell ref="A1:H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6" max="6" width="14.63"/>
    <col customWidth="1" min="7" max="7" width="16.38"/>
    <col customWidth="1" min="8" max="8" width="16.5"/>
  </cols>
  <sheetData>
    <row r="1">
      <c r="A1" s="25" t="s">
        <v>91</v>
      </c>
      <c r="B1" s="2"/>
      <c r="C1" s="2"/>
      <c r="D1" s="2"/>
      <c r="E1" s="2"/>
      <c r="F1" s="2"/>
      <c r="G1" s="2"/>
      <c r="H1" s="2"/>
    </row>
    <row r="2">
      <c r="A2" s="3"/>
    </row>
    <row r="3">
      <c r="A3" s="26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6" t="s">
        <v>9</v>
      </c>
      <c r="G3" s="26" t="s">
        <v>10</v>
      </c>
      <c r="H3" s="26" t="s">
        <v>11</v>
      </c>
    </row>
    <row r="4">
      <c r="A4" s="27">
        <v>46174.0</v>
      </c>
      <c r="B4" s="11">
        <v>7650.0</v>
      </c>
      <c r="C4" s="11">
        <v>8820.0</v>
      </c>
      <c r="D4" s="13">
        <f t="shared" ref="D4:D13" si="1">B4+C4</f>
        <v>16470</v>
      </c>
      <c r="E4" s="28">
        <v>7000.0</v>
      </c>
      <c r="F4" s="28" t="s">
        <v>94</v>
      </c>
      <c r="G4" s="28"/>
      <c r="H4" s="28"/>
    </row>
    <row r="5">
      <c r="A5" s="27">
        <v>46175.0</v>
      </c>
      <c r="B5" s="11">
        <v>15500.0</v>
      </c>
      <c r="C5" s="11">
        <v>10596.0</v>
      </c>
      <c r="D5" s="13">
        <f t="shared" si="1"/>
        <v>26096</v>
      </c>
      <c r="E5" s="28">
        <v>34000.0</v>
      </c>
      <c r="F5" s="28" t="s">
        <v>95</v>
      </c>
      <c r="G5" s="28"/>
      <c r="H5" s="28"/>
    </row>
    <row r="6">
      <c r="A6" s="27">
        <v>46176.0</v>
      </c>
      <c r="B6" s="11">
        <v>10400.0</v>
      </c>
      <c r="C6" s="11">
        <v>11095.0</v>
      </c>
      <c r="D6" s="13">
        <f t="shared" si="1"/>
        <v>21495</v>
      </c>
      <c r="E6" s="28"/>
      <c r="F6" s="28" t="s">
        <v>94</v>
      </c>
      <c r="G6" s="28">
        <v>2960.0</v>
      </c>
      <c r="H6" s="28">
        <v>1100.0</v>
      </c>
    </row>
    <row r="7">
      <c r="A7" s="27">
        <v>46177.0</v>
      </c>
      <c r="B7" s="11">
        <v>21350.0</v>
      </c>
      <c r="C7" s="11">
        <v>9892.0</v>
      </c>
      <c r="D7" s="13">
        <f t="shared" si="1"/>
        <v>31242</v>
      </c>
      <c r="E7" s="28">
        <v>53750.0</v>
      </c>
      <c r="F7" s="28" t="s">
        <v>13</v>
      </c>
      <c r="G7" s="28"/>
      <c r="H7" s="28"/>
    </row>
    <row r="8">
      <c r="A8" s="27">
        <v>46178.0</v>
      </c>
      <c r="B8" s="11">
        <v>20120.0</v>
      </c>
      <c r="C8" s="11">
        <v>18620.0</v>
      </c>
      <c r="D8" s="13">
        <f t="shared" si="1"/>
        <v>38740</v>
      </c>
      <c r="E8" s="28"/>
      <c r="F8" s="28" t="s">
        <v>88</v>
      </c>
      <c r="G8" s="28">
        <v>12000.0</v>
      </c>
      <c r="H8" s="28"/>
    </row>
    <row r="9">
      <c r="A9" s="27">
        <v>46179.0</v>
      </c>
      <c r="B9" s="11">
        <v>15000.0</v>
      </c>
      <c r="C9" s="11">
        <v>15850.0</v>
      </c>
      <c r="D9" s="13">
        <f t="shared" si="1"/>
        <v>30850</v>
      </c>
      <c r="E9" s="28"/>
      <c r="F9" s="28" t="s">
        <v>98</v>
      </c>
      <c r="G9" s="28">
        <v>25000.0</v>
      </c>
      <c r="H9" s="28">
        <v>390.0</v>
      </c>
    </row>
    <row r="10">
      <c r="A10" s="27">
        <v>46180.0</v>
      </c>
      <c r="B10" s="11">
        <v>19100.0</v>
      </c>
      <c r="C10" s="11">
        <v>20320.0</v>
      </c>
      <c r="D10" s="13">
        <f t="shared" si="1"/>
        <v>39420</v>
      </c>
      <c r="E10" s="28">
        <v>6150.0</v>
      </c>
      <c r="F10" s="28" t="s">
        <v>102</v>
      </c>
      <c r="G10" s="28"/>
      <c r="H10" s="28">
        <v>890.0</v>
      </c>
    </row>
    <row r="11">
      <c r="A11" s="27">
        <v>46181.0</v>
      </c>
      <c r="B11" s="11">
        <v>19260.0</v>
      </c>
      <c r="C11" s="11">
        <v>16350.0</v>
      </c>
      <c r="D11" s="13">
        <f t="shared" si="1"/>
        <v>35610</v>
      </c>
      <c r="E11" s="28"/>
      <c r="F11" s="28" t="s">
        <v>13</v>
      </c>
      <c r="G11" s="28">
        <v>30335.0</v>
      </c>
      <c r="H11" s="28"/>
    </row>
    <row r="12">
      <c r="A12" s="27">
        <v>46182.0</v>
      </c>
      <c r="B12" s="11">
        <v>11250.0</v>
      </c>
      <c r="C12" s="11">
        <v>18250.0</v>
      </c>
      <c r="D12" s="13">
        <f t="shared" si="1"/>
        <v>29500</v>
      </c>
      <c r="E12" s="28"/>
      <c r="F12" s="28" t="s">
        <v>107</v>
      </c>
      <c r="G12" s="28">
        <v>3000.0</v>
      </c>
      <c r="H12" s="28">
        <v>2700.0</v>
      </c>
    </row>
    <row r="13">
      <c r="A13" s="27">
        <v>46183.0</v>
      </c>
      <c r="B13" s="11">
        <v>8820.0</v>
      </c>
      <c r="C13" s="11">
        <v>12650.0</v>
      </c>
      <c r="D13" s="13">
        <f t="shared" si="1"/>
        <v>21470</v>
      </c>
      <c r="E13" s="28">
        <v>1800.0</v>
      </c>
      <c r="F13" s="28" t="s">
        <v>83</v>
      </c>
      <c r="G13" s="28"/>
      <c r="H13" s="28">
        <v>2200.0</v>
      </c>
    </row>
    <row r="14">
      <c r="A14" s="27">
        <v>46184.0</v>
      </c>
      <c r="B14" s="28">
        <v>23220.0</v>
      </c>
      <c r="C14" s="28">
        <v>11323.0</v>
      </c>
      <c r="D14" s="29">
        <f t="shared" ref="D14:D34" si="2">SUM(B14:C14)</f>
        <v>34543</v>
      </c>
      <c r="E14" s="28">
        <v>1400.0</v>
      </c>
      <c r="F14" s="28" t="s">
        <v>111</v>
      </c>
      <c r="G14" s="28"/>
      <c r="H14" s="28"/>
    </row>
    <row r="15">
      <c r="A15" s="27">
        <v>46185.0</v>
      </c>
      <c r="B15" s="28">
        <v>22400.0</v>
      </c>
      <c r="C15" s="28">
        <v>14964.0</v>
      </c>
      <c r="D15" s="29">
        <f t="shared" si="2"/>
        <v>37364</v>
      </c>
      <c r="E15" s="28">
        <v>18000.0</v>
      </c>
      <c r="F15" s="28" t="s">
        <v>112</v>
      </c>
      <c r="G15" s="29"/>
      <c r="H15" s="28">
        <v>750.0</v>
      </c>
    </row>
    <row r="16">
      <c r="A16" s="27">
        <v>46186.0</v>
      </c>
      <c r="B16" s="28">
        <v>10334.0</v>
      </c>
      <c r="C16" s="28">
        <v>24330.0</v>
      </c>
      <c r="D16" s="29">
        <f t="shared" si="2"/>
        <v>34664</v>
      </c>
      <c r="E16" s="28"/>
      <c r="F16" s="28"/>
      <c r="G16" s="28"/>
      <c r="H16" s="28">
        <v>750.0</v>
      </c>
    </row>
    <row r="17">
      <c r="A17" s="27">
        <v>46187.0</v>
      </c>
      <c r="B17" s="28">
        <v>20290.0</v>
      </c>
      <c r="C17" s="28">
        <v>24465.0</v>
      </c>
      <c r="D17" s="29">
        <f t="shared" si="2"/>
        <v>44755</v>
      </c>
      <c r="E17" s="28"/>
      <c r="F17" s="28"/>
      <c r="G17" s="29"/>
      <c r="H17" s="28">
        <v>900.0</v>
      </c>
    </row>
    <row r="18">
      <c r="A18" s="27">
        <v>46188.0</v>
      </c>
      <c r="B18" s="28">
        <v>11785.0</v>
      </c>
      <c r="C18" s="28">
        <v>13080.0</v>
      </c>
      <c r="D18" s="29">
        <f t="shared" si="2"/>
        <v>24865</v>
      </c>
      <c r="E18" s="28"/>
      <c r="F18" s="28"/>
      <c r="G18" s="28"/>
      <c r="H18" s="28">
        <v>900.0</v>
      </c>
    </row>
    <row r="19">
      <c r="A19" s="27">
        <v>46189.0</v>
      </c>
      <c r="B19" s="28">
        <v>14338.0</v>
      </c>
      <c r="C19" s="28">
        <v>13845.0</v>
      </c>
      <c r="D19" s="29">
        <f t="shared" si="2"/>
        <v>28183</v>
      </c>
      <c r="E19" s="28"/>
      <c r="F19" s="28"/>
      <c r="G19" s="29"/>
      <c r="H19" s="28">
        <v>900.0</v>
      </c>
    </row>
    <row r="20">
      <c r="A20" s="27">
        <v>46190.0</v>
      </c>
      <c r="B20" s="28">
        <v>14908.0</v>
      </c>
      <c r="C20" s="28">
        <v>11344.0</v>
      </c>
      <c r="D20" s="29">
        <f t="shared" si="2"/>
        <v>26252</v>
      </c>
      <c r="E20" s="28"/>
      <c r="F20" s="28"/>
      <c r="G20" s="28"/>
      <c r="H20" s="28">
        <v>900.0</v>
      </c>
    </row>
    <row r="21">
      <c r="A21" s="27">
        <v>46191.0</v>
      </c>
      <c r="B21" s="28">
        <v>13064.0</v>
      </c>
      <c r="C21" s="28">
        <v>18256.0</v>
      </c>
      <c r="D21" s="29">
        <f t="shared" si="2"/>
        <v>31320</v>
      </c>
      <c r="E21" s="28"/>
      <c r="F21" s="28" t="s">
        <v>116</v>
      </c>
      <c r="G21" s="28">
        <v>2000.0</v>
      </c>
      <c r="H21" s="28">
        <v>600.0</v>
      </c>
    </row>
    <row r="22">
      <c r="A22" s="27">
        <v>46192.0</v>
      </c>
      <c r="B22" s="28">
        <v>14142.0</v>
      </c>
      <c r="C22" s="28">
        <v>21870.0</v>
      </c>
      <c r="D22" s="29">
        <f t="shared" si="2"/>
        <v>36012</v>
      </c>
      <c r="E22" s="28">
        <v>21000.0</v>
      </c>
      <c r="F22" s="28" t="s">
        <v>118</v>
      </c>
      <c r="G22" s="28"/>
      <c r="H22" s="28">
        <v>600.0</v>
      </c>
    </row>
    <row r="23">
      <c r="A23" s="27">
        <v>46193.0</v>
      </c>
      <c r="B23" s="28">
        <v>21494.0</v>
      </c>
      <c r="C23" s="28">
        <v>11689.0</v>
      </c>
      <c r="D23" s="29">
        <f t="shared" si="2"/>
        <v>33183</v>
      </c>
      <c r="E23" s="28"/>
      <c r="F23" s="28" t="s">
        <v>120</v>
      </c>
      <c r="G23" s="24">
        <v>15000.0</v>
      </c>
      <c r="H23" s="28">
        <v>600.0</v>
      </c>
    </row>
    <row r="24">
      <c r="A24" s="27">
        <v>46194.0</v>
      </c>
      <c r="B24" s="28">
        <v>17007.0</v>
      </c>
      <c r="C24" s="28">
        <v>28970.0</v>
      </c>
      <c r="D24" s="29">
        <f t="shared" si="2"/>
        <v>45977</v>
      </c>
      <c r="E24" s="28"/>
      <c r="F24" s="28"/>
      <c r="G24" s="29"/>
      <c r="H24" s="28">
        <v>600.0</v>
      </c>
    </row>
    <row r="25">
      <c r="A25" s="27">
        <v>46195.0</v>
      </c>
      <c r="B25" s="28">
        <v>12221.0</v>
      </c>
      <c r="C25" s="28">
        <v>18463.0</v>
      </c>
      <c r="D25" s="29">
        <f t="shared" si="2"/>
        <v>30684</v>
      </c>
      <c r="E25" s="28"/>
      <c r="F25" s="28"/>
      <c r="G25" s="29"/>
      <c r="H25" s="28">
        <v>600.0</v>
      </c>
    </row>
    <row r="26">
      <c r="A26" s="27">
        <v>46196.0</v>
      </c>
      <c r="B26" s="11">
        <v>12057.0</v>
      </c>
      <c r="C26" s="11">
        <v>20961.0</v>
      </c>
      <c r="D26" s="29">
        <f t="shared" si="2"/>
        <v>33018</v>
      </c>
      <c r="E26" s="28"/>
      <c r="F26" s="28"/>
      <c r="G26" s="28"/>
      <c r="H26" s="28">
        <v>600.0</v>
      </c>
    </row>
    <row r="27">
      <c r="A27" s="27">
        <v>46197.0</v>
      </c>
      <c r="B27" s="28">
        <v>13056.0</v>
      </c>
      <c r="C27" s="28">
        <v>10910.0</v>
      </c>
      <c r="D27" s="29">
        <f t="shared" si="2"/>
        <v>23966</v>
      </c>
      <c r="E27" s="28"/>
      <c r="F27" s="28"/>
      <c r="G27" s="29"/>
      <c r="H27" s="28">
        <v>600.0</v>
      </c>
    </row>
    <row r="28">
      <c r="A28" s="27">
        <v>46198.0</v>
      </c>
      <c r="B28" s="28">
        <v>9250.0</v>
      </c>
      <c r="C28" s="28">
        <v>10450.0</v>
      </c>
      <c r="D28" s="29">
        <f t="shared" si="2"/>
        <v>19700</v>
      </c>
      <c r="E28" s="28"/>
      <c r="F28" s="28"/>
      <c r="G28" s="28"/>
      <c r="H28" s="28">
        <v>600.0</v>
      </c>
    </row>
    <row r="29">
      <c r="A29" s="27">
        <v>46199.0</v>
      </c>
      <c r="B29" s="34">
        <v>0.0</v>
      </c>
      <c r="C29" s="34">
        <v>0.0</v>
      </c>
      <c r="D29" s="36">
        <f t="shared" si="2"/>
        <v>0</v>
      </c>
      <c r="E29" s="30"/>
      <c r="F29" s="30"/>
      <c r="G29" s="29"/>
      <c r="H29" s="28">
        <v>0.0</v>
      </c>
    </row>
    <row r="30">
      <c r="A30" s="27">
        <v>46200.0</v>
      </c>
      <c r="B30" s="34">
        <v>0.0</v>
      </c>
      <c r="C30" s="34">
        <v>0.0</v>
      </c>
      <c r="D30" s="36">
        <f t="shared" si="2"/>
        <v>0</v>
      </c>
      <c r="E30" s="30"/>
      <c r="F30" s="29"/>
      <c r="G30" s="29"/>
      <c r="H30" s="28">
        <v>0.0</v>
      </c>
    </row>
    <row r="31">
      <c r="A31" s="27">
        <v>46201.0</v>
      </c>
      <c r="B31" s="28">
        <v>7375.0</v>
      </c>
      <c r="C31" s="28">
        <v>17361.0</v>
      </c>
      <c r="D31" s="29">
        <f t="shared" si="2"/>
        <v>24736</v>
      </c>
      <c r="E31" s="28"/>
      <c r="F31" s="28"/>
      <c r="G31" s="28"/>
      <c r="H31" s="28">
        <v>900.0</v>
      </c>
    </row>
    <row r="32">
      <c r="A32" s="27">
        <v>46202.0</v>
      </c>
      <c r="B32" s="28">
        <v>11030.0</v>
      </c>
      <c r="C32" s="28">
        <v>11660.0</v>
      </c>
      <c r="D32" s="29">
        <f t="shared" si="2"/>
        <v>22690</v>
      </c>
      <c r="E32" s="30"/>
      <c r="F32" s="28"/>
      <c r="G32" s="28"/>
      <c r="H32" s="28">
        <v>900.0</v>
      </c>
    </row>
    <row r="33">
      <c r="A33" s="27">
        <v>46203.0</v>
      </c>
      <c r="B33" s="28">
        <v>8073.0</v>
      </c>
      <c r="C33" s="28">
        <v>12967.0</v>
      </c>
      <c r="D33" s="29">
        <f t="shared" si="2"/>
        <v>21040</v>
      </c>
      <c r="E33" s="30"/>
      <c r="F33" s="30"/>
      <c r="G33" s="29"/>
      <c r="H33" s="28">
        <v>900.0</v>
      </c>
    </row>
    <row r="34">
      <c r="A34" s="27"/>
      <c r="B34" s="28"/>
      <c r="C34" s="28"/>
      <c r="D34" s="29">
        <f t="shared" si="2"/>
        <v>0</v>
      </c>
      <c r="E34" s="29"/>
      <c r="F34" s="29"/>
      <c r="G34" s="29"/>
      <c r="H34" s="28">
        <v>900.0</v>
      </c>
    </row>
    <row r="35">
      <c r="A35" s="30"/>
      <c r="B35" s="29">
        <f t="shared" ref="B35:H35" si="3">SUM(B4:B34)</f>
        <v>404494</v>
      </c>
      <c r="C35" s="29">
        <f t="shared" si="3"/>
        <v>439351</v>
      </c>
      <c r="D35" s="29">
        <f t="shared" si="3"/>
        <v>843845</v>
      </c>
      <c r="E35" s="29">
        <f t="shared" si="3"/>
        <v>143100</v>
      </c>
      <c r="F35" s="29">
        <f t="shared" si="3"/>
        <v>0</v>
      </c>
      <c r="G35" s="29">
        <f t="shared" si="3"/>
        <v>90295</v>
      </c>
      <c r="H35" s="29">
        <f t="shared" si="3"/>
        <v>20780</v>
      </c>
    </row>
    <row r="36">
      <c r="A36" s="31"/>
      <c r="B36" s="31"/>
      <c r="C36" s="31"/>
      <c r="D36" s="31"/>
      <c r="E36" s="31"/>
      <c r="F36" s="32">
        <f>E35+G35</f>
        <v>233395</v>
      </c>
      <c r="G36" s="31"/>
      <c r="H36" s="31"/>
    </row>
  </sheetData>
  <mergeCells count="1">
    <mergeCell ref="A1:H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4" max="4" width="12.13"/>
    <col customWidth="1" min="5" max="5" width="32.5"/>
    <col customWidth="1" min="6" max="6" width="12.88"/>
    <col customWidth="1" min="7" max="12" width="13.75"/>
    <col customWidth="1" min="14" max="15" width="16.5"/>
    <col customWidth="1" min="16" max="16" width="14.63"/>
    <col customWidth="1" min="17" max="17" width="16.38"/>
  </cols>
  <sheetData>
    <row r="1">
      <c r="A1" s="25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/>
    </row>
    <row r="3">
      <c r="A3" s="26" t="s">
        <v>4</v>
      </c>
      <c r="B3" s="26" t="s">
        <v>5</v>
      </c>
      <c r="C3" s="26" t="s">
        <v>6</v>
      </c>
      <c r="D3" s="40" t="s">
        <v>97</v>
      </c>
      <c r="E3" s="40" t="s">
        <v>99</v>
      </c>
      <c r="F3" s="40" t="s">
        <v>100</v>
      </c>
      <c r="G3" s="41" t="s">
        <v>101</v>
      </c>
      <c r="H3" s="41" t="s">
        <v>103</v>
      </c>
      <c r="I3" s="41" t="s">
        <v>104</v>
      </c>
      <c r="J3" s="40" t="s">
        <v>105</v>
      </c>
      <c r="K3" s="40" t="s">
        <v>13</v>
      </c>
      <c r="L3" s="40" t="s">
        <v>106</v>
      </c>
      <c r="M3" s="26" t="s">
        <v>7</v>
      </c>
      <c r="N3" s="26" t="s">
        <v>11</v>
      </c>
      <c r="O3" s="26" t="s">
        <v>8</v>
      </c>
      <c r="P3" s="26" t="s">
        <v>9</v>
      </c>
      <c r="Q3" s="26" t="s">
        <v>10</v>
      </c>
    </row>
    <row r="4">
      <c r="A4" s="27">
        <v>46204.0</v>
      </c>
      <c r="B4" s="11">
        <v>19961.0</v>
      </c>
      <c r="C4" s="11">
        <v>16330.0</v>
      </c>
      <c r="D4" s="11">
        <v>800.0</v>
      </c>
      <c r="E4" s="11" t="s">
        <v>108</v>
      </c>
      <c r="F4" s="11">
        <v>0.0</v>
      </c>
      <c r="G4" s="11" t="s">
        <v>109</v>
      </c>
      <c r="H4" s="11">
        <v>700.0</v>
      </c>
      <c r="I4" s="11" t="s">
        <v>110</v>
      </c>
      <c r="J4" s="11">
        <v>31921.0</v>
      </c>
      <c r="K4" s="11">
        <v>8250.0</v>
      </c>
      <c r="L4" s="11">
        <f t="shared" ref="L4:L34" si="1">(B4-D4-H4-N4)+F4+C4</f>
        <v>33591</v>
      </c>
      <c r="M4" s="13">
        <f t="shared" ref="M4:M13" si="2">B4+C4</f>
        <v>36291</v>
      </c>
      <c r="N4" s="28">
        <v>1200.0</v>
      </c>
      <c r="O4" s="28"/>
      <c r="P4" s="28"/>
      <c r="Q4" s="28"/>
    </row>
    <row r="5">
      <c r="A5" s="27">
        <v>46205.0</v>
      </c>
      <c r="B5" s="11">
        <v>5659.0</v>
      </c>
      <c r="C5" s="11">
        <v>18700.0</v>
      </c>
      <c r="D5" s="11">
        <v>520.0</v>
      </c>
      <c r="E5" s="11" t="s">
        <v>113</v>
      </c>
      <c r="F5" s="11">
        <v>0.0</v>
      </c>
      <c r="G5" s="11" t="s">
        <v>109</v>
      </c>
      <c r="H5" s="11">
        <v>0.0</v>
      </c>
      <c r="I5" s="11" t="s">
        <v>109</v>
      </c>
      <c r="J5" s="11">
        <v>23869.0</v>
      </c>
      <c r="K5" s="11">
        <v>5480.0</v>
      </c>
      <c r="L5" s="11">
        <f t="shared" si="1"/>
        <v>22789</v>
      </c>
      <c r="M5" s="13">
        <f t="shared" si="2"/>
        <v>24359</v>
      </c>
      <c r="N5" s="28">
        <v>1050.0</v>
      </c>
      <c r="O5" s="28"/>
      <c r="P5" s="28" t="s">
        <v>114</v>
      </c>
      <c r="Q5" s="28">
        <v>2640.0</v>
      </c>
    </row>
    <row r="6">
      <c r="A6" s="27">
        <v>46206.0</v>
      </c>
      <c r="B6" s="11">
        <v>13889.0</v>
      </c>
      <c r="C6" s="11">
        <v>17455.0</v>
      </c>
      <c r="D6" s="11">
        <f>(1200+650)</f>
        <v>1850</v>
      </c>
      <c r="E6" s="11" t="s">
        <v>115</v>
      </c>
      <c r="F6" s="11">
        <v>520.0</v>
      </c>
      <c r="G6" s="11" t="s">
        <v>113</v>
      </c>
      <c r="H6" s="11">
        <f>250+450</f>
        <v>700</v>
      </c>
      <c r="I6" s="11" t="s">
        <v>117</v>
      </c>
      <c r="J6" s="11">
        <v>26814.0</v>
      </c>
      <c r="K6" s="11">
        <v>9180.0</v>
      </c>
      <c r="L6" s="11">
        <f t="shared" si="1"/>
        <v>28114</v>
      </c>
      <c r="M6" s="13">
        <f t="shared" si="2"/>
        <v>31344</v>
      </c>
      <c r="N6" s="28">
        <v>1200.0</v>
      </c>
      <c r="O6" s="28">
        <v>2500.0</v>
      </c>
      <c r="P6" s="28" t="s">
        <v>119</v>
      </c>
      <c r="Q6" s="28"/>
    </row>
    <row r="7">
      <c r="A7" s="27">
        <v>46207.0</v>
      </c>
      <c r="B7" s="11">
        <v>14287.0</v>
      </c>
      <c r="C7" s="11">
        <v>28710.0</v>
      </c>
      <c r="D7" s="11">
        <v>0.0</v>
      </c>
      <c r="E7" s="11" t="s">
        <v>109</v>
      </c>
      <c r="F7" s="11">
        <v>0.0</v>
      </c>
      <c r="G7" s="11" t="s">
        <v>109</v>
      </c>
      <c r="H7" s="11">
        <v>2350.0</v>
      </c>
      <c r="I7" s="11" t="s">
        <v>121</v>
      </c>
      <c r="J7" s="11">
        <v>39862.0</v>
      </c>
      <c r="K7" s="11">
        <v>8310.0</v>
      </c>
      <c r="L7" s="11">
        <f t="shared" si="1"/>
        <v>39147</v>
      </c>
      <c r="M7" s="13">
        <f t="shared" si="2"/>
        <v>42997</v>
      </c>
      <c r="N7" s="28">
        <v>1500.0</v>
      </c>
      <c r="O7" s="28">
        <v>2000.0</v>
      </c>
      <c r="P7" s="28" t="s">
        <v>122</v>
      </c>
      <c r="Q7" s="28"/>
    </row>
    <row r="8">
      <c r="A8" s="27">
        <v>46208.0</v>
      </c>
      <c r="B8" s="11">
        <v>16816.0</v>
      </c>
      <c r="C8" s="11">
        <v>27400.0</v>
      </c>
      <c r="D8" s="11">
        <f>(1000+500)</f>
        <v>1500</v>
      </c>
      <c r="E8" s="11" t="s">
        <v>123</v>
      </c>
      <c r="F8" s="11">
        <v>0.0</v>
      </c>
      <c r="G8" s="11" t="s">
        <v>109</v>
      </c>
      <c r="H8" s="11">
        <v>0.0</v>
      </c>
      <c r="I8" s="11" t="s">
        <v>109</v>
      </c>
      <c r="J8" s="11">
        <v>39426.0</v>
      </c>
      <c r="K8" s="11">
        <v>7680.0</v>
      </c>
      <c r="L8" s="11">
        <f t="shared" si="1"/>
        <v>41516</v>
      </c>
      <c r="M8" s="13">
        <f t="shared" si="2"/>
        <v>44216</v>
      </c>
      <c r="N8" s="28">
        <v>1200.0</v>
      </c>
      <c r="O8" s="28">
        <v>10000.0</v>
      </c>
      <c r="P8" s="28" t="s">
        <v>120</v>
      </c>
      <c r="Q8" s="28">
        <v>5000.0</v>
      </c>
    </row>
    <row r="9">
      <c r="A9" s="27">
        <v>46209.0</v>
      </c>
      <c r="B9" s="11">
        <v>18881.0</v>
      </c>
      <c r="C9" s="11">
        <v>14740.0</v>
      </c>
      <c r="D9" s="11">
        <v>1050.0</v>
      </c>
      <c r="E9" s="11" t="s">
        <v>124</v>
      </c>
      <c r="F9" s="11">
        <f>1000+800+350</f>
        <v>2150</v>
      </c>
      <c r="G9" s="11" t="s">
        <v>125</v>
      </c>
      <c r="H9" s="11">
        <v>0.0</v>
      </c>
      <c r="I9" s="11" t="s">
        <v>109</v>
      </c>
      <c r="J9" s="11">
        <v>28761.0</v>
      </c>
      <c r="K9" s="11">
        <v>5440.0</v>
      </c>
      <c r="L9" s="11">
        <f t="shared" si="1"/>
        <v>33521</v>
      </c>
      <c r="M9" s="13">
        <f t="shared" si="2"/>
        <v>33621</v>
      </c>
      <c r="N9" s="28">
        <v>1200.0</v>
      </c>
      <c r="O9" s="28"/>
      <c r="P9" s="28" t="s">
        <v>13</v>
      </c>
      <c r="Q9" s="28">
        <v>14809.0</v>
      </c>
    </row>
    <row r="10">
      <c r="A10" s="27">
        <v>46210.0</v>
      </c>
      <c r="B10" s="11">
        <v>19601.0</v>
      </c>
      <c r="C10" s="11">
        <v>19800.0</v>
      </c>
      <c r="D10" s="11">
        <f>420+100</f>
        <v>520</v>
      </c>
      <c r="E10" s="11" t="s">
        <v>126</v>
      </c>
      <c r="F10" s="11">
        <v>0.0</v>
      </c>
      <c r="G10" s="11" t="s">
        <v>109</v>
      </c>
      <c r="H10" s="11">
        <v>0.0</v>
      </c>
      <c r="I10" s="11" t="s">
        <v>109</v>
      </c>
      <c r="J10" s="11">
        <v>33093.0</v>
      </c>
      <c r="K10" s="11">
        <v>8510.0</v>
      </c>
      <c r="L10" s="11">
        <f t="shared" si="1"/>
        <v>38081</v>
      </c>
      <c r="M10" s="13">
        <f t="shared" si="2"/>
        <v>39401</v>
      </c>
      <c r="N10" s="28">
        <v>800.0</v>
      </c>
      <c r="O10" s="28"/>
      <c r="P10" s="28" t="s">
        <v>127</v>
      </c>
      <c r="Q10" s="28">
        <v>14100.0</v>
      </c>
    </row>
    <row r="11">
      <c r="A11" s="27">
        <v>46211.0</v>
      </c>
      <c r="B11" s="11">
        <v>20365.0</v>
      </c>
      <c r="C11" s="11">
        <v>15610.0</v>
      </c>
      <c r="D11" s="11">
        <v>0.0</v>
      </c>
      <c r="E11" s="11" t="s">
        <v>109</v>
      </c>
      <c r="F11" s="11">
        <v>0.0</v>
      </c>
      <c r="G11" s="11" t="s">
        <v>109</v>
      </c>
      <c r="H11" s="11">
        <f>2884+1000</f>
        <v>3884</v>
      </c>
      <c r="I11" s="11" t="s">
        <v>128</v>
      </c>
      <c r="J11" s="11">
        <v>28401.0</v>
      </c>
      <c r="K11" s="11">
        <v>8090.0</v>
      </c>
      <c r="L11" s="11">
        <f t="shared" si="1"/>
        <v>29751</v>
      </c>
      <c r="M11" s="13">
        <f t="shared" si="2"/>
        <v>35975</v>
      </c>
      <c r="N11" s="28">
        <f>1440+900</f>
        <v>2340</v>
      </c>
      <c r="O11" s="28"/>
      <c r="P11" s="28" t="s">
        <v>98</v>
      </c>
      <c r="Q11" s="28">
        <v>24166.0</v>
      </c>
    </row>
    <row r="12">
      <c r="A12" s="27">
        <v>46212.0</v>
      </c>
      <c r="B12" s="11">
        <v>20403.0</v>
      </c>
      <c r="C12" s="11">
        <v>12710.0</v>
      </c>
      <c r="D12" s="11">
        <f>670+400</f>
        <v>1070</v>
      </c>
      <c r="E12" s="11" t="s">
        <v>129</v>
      </c>
      <c r="F12" s="11">
        <v>0.0</v>
      </c>
      <c r="G12" s="11" t="s">
        <v>109</v>
      </c>
      <c r="H12" s="11">
        <v>0.0</v>
      </c>
      <c r="I12" s="11" t="s">
        <v>109</v>
      </c>
      <c r="J12" s="11">
        <v>28016.0</v>
      </c>
      <c r="K12" s="11">
        <v>5760.0</v>
      </c>
      <c r="L12" s="11">
        <f t="shared" si="1"/>
        <v>30793</v>
      </c>
      <c r="M12" s="13">
        <f t="shared" si="2"/>
        <v>33113</v>
      </c>
      <c r="N12" s="28">
        <f>1050+200</f>
        <v>1250</v>
      </c>
      <c r="O12" s="28"/>
      <c r="P12" s="28" t="s">
        <v>29</v>
      </c>
      <c r="Q12" s="28">
        <v>13333.0</v>
      </c>
    </row>
    <row r="13">
      <c r="A13" s="27">
        <v>46213.0</v>
      </c>
      <c r="B13" s="11">
        <v>17653.0</v>
      </c>
      <c r="C13" s="11">
        <v>11170.0</v>
      </c>
      <c r="D13" s="11">
        <v>500.0</v>
      </c>
      <c r="E13" s="11" t="s">
        <v>130</v>
      </c>
      <c r="F13" s="11">
        <v>650.0</v>
      </c>
      <c r="G13" s="11" t="s">
        <v>131</v>
      </c>
      <c r="H13" s="11">
        <v>0.0</v>
      </c>
      <c r="I13" s="11" t="s">
        <v>109</v>
      </c>
      <c r="J13" s="11">
        <v>25189.0</v>
      </c>
      <c r="K13" s="11">
        <v>4690.0</v>
      </c>
      <c r="L13" s="11">
        <f t="shared" si="1"/>
        <v>27773</v>
      </c>
      <c r="M13" s="13">
        <f t="shared" si="2"/>
        <v>28823</v>
      </c>
      <c r="N13" s="28">
        <v>1200.0</v>
      </c>
      <c r="O13" s="28"/>
      <c r="P13" s="28" t="s">
        <v>132</v>
      </c>
      <c r="Q13" s="28">
        <v>4666.0</v>
      </c>
    </row>
    <row r="14">
      <c r="A14" s="27">
        <v>46214.0</v>
      </c>
      <c r="B14" s="28">
        <v>14239.0</v>
      </c>
      <c r="C14" s="28">
        <v>29048.0</v>
      </c>
      <c r="D14" s="28">
        <f>460+600+600</f>
        <v>1660</v>
      </c>
      <c r="E14" s="28" t="s">
        <v>133</v>
      </c>
      <c r="F14" s="28">
        <v>0.0</v>
      </c>
      <c r="G14" s="11" t="s">
        <v>109</v>
      </c>
      <c r="H14" s="11">
        <v>0.0</v>
      </c>
      <c r="I14" s="11" t="s">
        <v>109</v>
      </c>
      <c r="J14" s="28">
        <v>38965.0</v>
      </c>
      <c r="K14" s="28">
        <v>6910.0</v>
      </c>
      <c r="L14" s="11">
        <f t="shared" si="1"/>
        <v>38365</v>
      </c>
      <c r="M14" s="29">
        <f t="shared" ref="M14:M34" si="3">SUM(B14:C14)</f>
        <v>43287</v>
      </c>
      <c r="N14" s="28">
        <f>2062+1200</f>
        <v>3262</v>
      </c>
      <c r="O14" s="28"/>
      <c r="P14" s="28" t="s">
        <v>13</v>
      </c>
      <c r="Q14" s="28">
        <v>24947.0</v>
      </c>
    </row>
    <row r="15">
      <c r="A15" s="27">
        <v>46215.0</v>
      </c>
      <c r="B15" s="28">
        <v>23915.0</v>
      </c>
      <c r="C15" s="28">
        <v>21340.0</v>
      </c>
      <c r="D15" s="28">
        <f>1100+250+300</f>
        <v>1650</v>
      </c>
      <c r="E15" s="28" t="s">
        <v>134</v>
      </c>
      <c r="F15" s="28">
        <v>0.0</v>
      </c>
      <c r="G15" s="11" t="s">
        <v>109</v>
      </c>
      <c r="H15" s="11">
        <v>300.0</v>
      </c>
      <c r="I15" s="11" t="s">
        <v>135</v>
      </c>
      <c r="J15" s="28">
        <v>35629.0</v>
      </c>
      <c r="K15" s="28">
        <v>11180.0</v>
      </c>
      <c r="L15" s="11">
        <f t="shared" si="1"/>
        <v>42105</v>
      </c>
      <c r="M15" s="29">
        <f t="shared" si="3"/>
        <v>45255</v>
      </c>
      <c r="N15" s="28">
        <v>1200.0</v>
      </c>
      <c r="O15" s="28">
        <v>13300.0</v>
      </c>
      <c r="P15" s="28" t="s">
        <v>88</v>
      </c>
      <c r="Q15" s="29"/>
    </row>
    <row r="16">
      <c r="A16" s="27">
        <v>46216.0</v>
      </c>
      <c r="B16" s="28">
        <v>14872.0</v>
      </c>
      <c r="C16" s="28">
        <v>16730.0</v>
      </c>
      <c r="D16" s="28">
        <v>300.0</v>
      </c>
      <c r="E16" s="28" t="s">
        <v>136</v>
      </c>
      <c r="F16" s="28">
        <v>1100.0</v>
      </c>
      <c r="G16" s="11" t="s">
        <v>137</v>
      </c>
      <c r="H16" s="11">
        <v>250.0</v>
      </c>
      <c r="I16" s="11" t="s">
        <v>135</v>
      </c>
      <c r="J16" s="28">
        <v>26482.0</v>
      </c>
      <c r="K16" s="28">
        <v>6680.0</v>
      </c>
      <c r="L16" s="11">
        <f t="shared" si="1"/>
        <v>30952</v>
      </c>
      <c r="M16" s="29">
        <f t="shared" si="3"/>
        <v>31602</v>
      </c>
      <c r="N16" s="28">
        <v>1200.0</v>
      </c>
      <c r="O16" s="28"/>
      <c r="P16" s="28"/>
      <c r="Q16" s="28"/>
    </row>
    <row r="17">
      <c r="A17" s="27">
        <v>46217.0</v>
      </c>
      <c r="B17" s="28">
        <v>20565.0</v>
      </c>
      <c r="C17" s="28">
        <v>22446.0</v>
      </c>
      <c r="D17" s="28">
        <v>0.0</v>
      </c>
      <c r="E17" s="28" t="s">
        <v>109</v>
      </c>
      <c r="F17" s="28">
        <v>0.0</v>
      </c>
      <c r="G17" s="11" t="s">
        <v>109</v>
      </c>
      <c r="H17" s="11">
        <v>0.0</v>
      </c>
      <c r="I17" s="11" t="s">
        <v>109</v>
      </c>
      <c r="J17" s="28">
        <v>36336.0</v>
      </c>
      <c r="K17" s="28">
        <v>8710.0</v>
      </c>
      <c r="L17" s="11">
        <f t="shared" si="1"/>
        <v>40491</v>
      </c>
      <c r="M17" s="29">
        <f t="shared" si="3"/>
        <v>43011</v>
      </c>
      <c r="N17" s="28">
        <f>1200+1320</f>
        <v>2520</v>
      </c>
      <c r="O17" s="28"/>
      <c r="P17" s="28"/>
      <c r="Q17" s="29"/>
    </row>
    <row r="18">
      <c r="A18" s="27">
        <v>46218.0</v>
      </c>
      <c r="B18" s="11">
        <v>18121.0</v>
      </c>
      <c r="C18" s="11">
        <v>22110.0</v>
      </c>
      <c r="D18" s="13">
        <f>300+100</f>
        <v>400</v>
      </c>
      <c r="E18" s="11" t="s">
        <v>138</v>
      </c>
      <c r="F18" s="11">
        <v>0.0</v>
      </c>
      <c r="G18" s="11" t="s">
        <v>109</v>
      </c>
      <c r="H18" s="13">
        <f>950+300</f>
        <v>1250</v>
      </c>
      <c r="I18" s="11" t="s">
        <v>139</v>
      </c>
      <c r="J18" s="11">
        <v>34141.0</v>
      </c>
      <c r="K18" s="11">
        <v>7630.0</v>
      </c>
      <c r="L18" s="13">
        <f t="shared" si="1"/>
        <v>37381</v>
      </c>
      <c r="M18" s="13">
        <f t="shared" si="3"/>
        <v>40231</v>
      </c>
      <c r="N18" s="11">
        <v>1200.0</v>
      </c>
      <c r="O18" s="13"/>
      <c r="P18" s="13"/>
      <c r="Q18" s="13"/>
    </row>
    <row r="19">
      <c r="A19" s="27">
        <v>46219.0</v>
      </c>
      <c r="B19" s="28">
        <v>20065.0</v>
      </c>
      <c r="C19" s="28">
        <v>13688.0</v>
      </c>
      <c r="D19" s="28">
        <f>250+250+300+300</f>
        <v>1100</v>
      </c>
      <c r="E19" s="28" t="s">
        <v>140</v>
      </c>
      <c r="F19" s="28">
        <v>0.0</v>
      </c>
      <c r="G19" s="11" t="s">
        <v>109</v>
      </c>
      <c r="H19" s="11">
        <v>1500.0</v>
      </c>
      <c r="I19" s="11" t="s">
        <v>121</v>
      </c>
      <c r="J19" s="28">
        <v>31233.0</v>
      </c>
      <c r="K19" s="28">
        <v>4160.0</v>
      </c>
      <c r="L19" s="11">
        <f t="shared" si="1"/>
        <v>29953</v>
      </c>
      <c r="M19" s="29">
        <f t="shared" si="3"/>
        <v>33753</v>
      </c>
      <c r="N19" s="28">
        <v>1200.0</v>
      </c>
      <c r="O19" s="28"/>
      <c r="P19" s="28"/>
      <c r="Q19" s="28"/>
    </row>
    <row r="20">
      <c r="A20" s="27">
        <v>46220.0</v>
      </c>
      <c r="B20" s="28">
        <v>13883.0</v>
      </c>
      <c r="C20" s="28">
        <v>21259.0</v>
      </c>
      <c r="D20" s="28">
        <f>300+300</f>
        <v>600</v>
      </c>
      <c r="E20" s="28" t="s">
        <v>141</v>
      </c>
      <c r="F20" s="28">
        <v>0.0</v>
      </c>
      <c r="G20" s="11" t="s">
        <v>109</v>
      </c>
      <c r="H20" s="13">
        <f>350+350</f>
        <v>700</v>
      </c>
      <c r="I20" s="11" t="s">
        <v>142</v>
      </c>
      <c r="J20" s="28">
        <v>32126.0</v>
      </c>
      <c r="K20" s="28">
        <v>4610.0</v>
      </c>
      <c r="L20" s="11">
        <f t="shared" si="1"/>
        <v>32642</v>
      </c>
      <c r="M20" s="29">
        <f t="shared" si="3"/>
        <v>35142</v>
      </c>
      <c r="N20" s="28">
        <v>1200.0</v>
      </c>
      <c r="O20" s="28"/>
      <c r="P20" s="28"/>
      <c r="Q20" s="28"/>
    </row>
    <row r="21">
      <c r="A21" s="27">
        <v>46221.0</v>
      </c>
      <c r="B21" s="28">
        <v>26670.0</v>
      </c>
      <c r="C21" s="28">
        <v>18540.0</v>
      </c>
      <c r="D21" s="28">
        <f>750+1150</f>
        <v>1900</v>
      </c>
      <c r="E21" s="28" t="s">
        <v>143</v>
      </c>
      <c r="F21" s="28">
        <v>0.0</v>
      </c>
      <c r="G21" s="11" t="s">
        <v>109</v>
      </c>
      <c r="H21" s="11">
        <v>350.0</v>
      </c>
      <c r="I21" s="11" t="s">
        <v>135</v>
      </c>
      <c r="J21" s="28">
        <v>40015.0</v>
      </c>
      <c r="K21" s="28">
        <v>8120.0</v>
      </c>
      <c r="L21" s="11">
        <f t="shared" si="1"/>
        <v>41760</v>
      </c>
      <c r="M21" s="29">
        <f t="shared" si="3"/>
        <v>45210</v>
      </c>
      <c r="N21" s="28">
        <v>1200.0</v>
      </c>
      <c r="O21" s="28"/>
      <c r="P21" s="28"/>
      <c r="Q21" s="28"/>
    </row>
    <row r="22">
      <c r="A22" s="27">
        <v>46222.0</v>
      </c>
      <c r="B22" s="28">
        <v>20873.0</v>
      </c>
      <c r="C22" s="28">
        <v>19900.0</v>
      </c>
      <c r="D22" s="28">
        <v>700.0</v>
      </c>
      <c r="E22" s="28" t="s">
        <v>137</v>
      </c>
      <c r="F22" s="28">
        <v>0.0</v>
      </c>
      <c r="G22" s="11" t="s">
        <v>109</v>
      </c>
      <c r="H22" s="13">
        <f>2630+350</f>
        <v>2980</v>
      </c>
      <c r="I22" s="11" t="s">
        <v>144</v>
      </c>
      <c r="J22" s="28"/>
      <c r="K22" s="28"/>
      <c r="L22" s="11">
        <f t="shared" si="1"/>
        <v>35893</v>
      </c>
      <c r="M22" s="29">
        <f t="shared" si="3"/>
        <v>40773</v>
      </c>
      <c r="N22" s="28">
        <v>1200.0</v>
      </c>
      <c r="O22" s="28"/>
      <c r="P22" s="28"/>
      <c r="Q22" s="28"/>
    </row>
    <row r="23">
      <c r="A23" s="27">
        <v>46223.0</v>
      </c>
      <c r="B23" s="28">
        <v>33593.0</v>
      </c>
      <c r="C23" s="28">
        <v>20480.0</v>
      </c>
      <c r="D23" s="28">
        <f>1300+600+250+400</f>
        <v>2550</v>
      </c>
      <c r="E23" s="28" t="s">
        <v>145</v>
      </c>
      <c r="F23" s="28">
        <v>0.0</v>
      </c>
      <c r="G23" s="11" t="s">
        <v>109</v>
      </c>
      <c r="H23" s="11">
        <v>0.0</v>
      </c>
      <c r="I23" s="11" t="s">
        <v>109</v>
      </c>
      <c r="J23" s="28"/>
      <c r="K23" s="28"/>
      <c r="L23" s="11">
        <f t="shared" si="1"/>
        <v>50623</v>
      </c>
      <c r="M23" s="29">
        <f t="shared" si="3"/>
        <v>54073</v>
      </c>
      <c r="N23" s="28">
        <v>900.0</v>
      </c>
      <c r="O23" s="28"/>
      <c r="P23" s="28"/>
      <c r="Q23" s="11"/>
    </row>
    <row r="24">
      <c r="A24" s="27">
        <v>46224.0</v>
      </c>
      <c r="B24" s="28">
        <v>23136.0</v>
      </c>
      <c r="C24" s="28">
        <v>9060.0</v>
      </c>
      <c r="D24" s="28">
        <f>550+300+650+250+1200</f>
        <v>2950</v>
      </c>
      <c r="E24" s="28" t="s">
        <v>146</v>
      </c>
      <c r="F24" s="28">
        <v>0.0</v>
      </c>
      <c r="G24" s="11" t="s">
        <v>109</v>
      </c>
      <c r="H24" s="11">
        <v>0.0</v>
      </c>
      <c r="I24" s="11" t="s">
        <v>109</v>
      </c>
      <c r="J24" s="28">
        <v>31983.0</v>
      </c>
      <c r="K24" s="28">
        <v>2410.0</v>
      </c>
      <c r="L24" s="11">
        <f t="shared" si="1"/>
        <v>28346</v>
      </c>
      <c r="M24" s="29">
        <f t="shared" si="3"/>
        <v>32196</v>
      </c>
      <c r="N24" s="28">
        <v>900.0</v>
      </c>
      <c r="O24" s="28"/>
      <c r="P24" s="28"/>
      <c r="Q24" s="29"/>
    </row>
    <row r="25">
      <c r="A25" s="27">
        <v>46225.0</v>
      </c>
      <c r="B25" s="28">
        <v>14714.0</v>
      </c>
      <c r="C25" s="28">
        <v>15950.0</v>
      </c>
      <c r="D25" s="28">
        <f>300+1300</f>
        <v>1600</v>
      </c>
      <c r="E25" s="28" t="s">
        <v>147</v>
      </c>
      <c r="F25" s="28">
        <v>0.0</v>
      </c>
      <c r="G25" s="11" t="s">
        <v>109</v>
      </c>
      <c r="H25" s="11">
        <v>0.0</v>
      </c>
      <c r="I25" s="11" t="s">
        <v>109</v>
      </c>
      <c r="J25" s="28">
        <v>29308.0</v>
      </c>
      <c r="K25" s="28">
        <v>2680.0</v>
      </c>
      <c r="L25" s="11">
        <f t="shared" si="1"/>
        <v>27864</v>
      </c>
      <c r="M25" s="29">
        <f t="shared" si="3"/>
        <v>30664</v>
      </c>
      <c r="N25" s="28">
        <v>1200.0</v>
      </c>
      <c r="O25" s="28"/>
      <c r="P25" s="28"/>
      <c r="Q25" s="29"/>
    </row>
    <row r="26">
      <c r="A26" s="27">
        <v>46226.0</v>
      </c>
      <c r="B26" s="11">
        <v>12472.0</v>
      </c>
      <c r="C26" s="11">
        <v>16479.0</v>
      </c>
      <c r="D26" s="11">
        <f>250+250+600</f>
        <v>1100</v>
      </c>
      <c r="E26" s="11" t="s">
        <v>148</v>
      </c>
      <c r="F26" s="11">
        <v>0.0</v>
      </c>
      <c r="G26" s="11" t="s">
        <v>109</v>
      </c>
      <c r="H26" s="11">
        <f>250+2250</f>
        <v>2500</v>
      </c>
      <c r="I26" s="11" t="s">
        <v>149</v>
      </c>
      <c r="J26" s="11">
        <v>28131.0</v>
      </c>
      <c r="K26" s="11">
        <v>1820.0</v>
      </c>
      <c r="L26" s="11">
        <f t="shared" si="1"/>
        <v>24151</v>
      </c>
      <c r="M26" s="29">
        <f t="shared" si="3"/>
        <v>28951</v>
      </c>
      <c r="N26" s="28">
        <v>1200.0</v>
      </c>
      <c r="O26" s="28"/>
      <c r="P26" s="28"/>
      <c r="Q26" s="28"/>
    </row>
    <row r="27">
      <c r="A27" s="27">
        <v>46227.0</v>
      </c>
      <c r="B27" s="28">
        <v>16345.0</v>
      </c>
      <c r="C27" s="28">
        <v>16013.0</v>
      </c>
      <c r="D27" s="28">
        <f>750+400+250+350</f>
        <v>1750</v>
      </c>
      <c r="E27" s="28" t="s">
        <v>150</v>
      </c>
      <c r="F27" s="28">
        <v>0.0</v>
      </c>
      <c r="G27" s="11" t="s">
        <v>109</v>
      </c>
      <c r="H27" s="11">
        <v>0.0</v>
      </c>
      <c r="I27" s="11" t="s">
        <v>109</v>
      </c>
      <c r="J27" s="28">
        <v>31083.0</v>
      </c>
      <c r="K27" s="28">
        <v>3405.0</v>
      </c>
      <c r="L27" s="11">
        <f t="shared" si="1"/>
        <v>28858</v>
      </c>
      <c r="M27" s="29">
        <f t="shared" si="3"/>
        <v>32358</v>
      </c>
      <c r="N27" s="28">
        <f>1200+550</f>
        <v>1750</v>
      </c>
      <c r="O27" s="28"/>
      <c r="P27" s="28"/>
      <c r="Q27" s="29"/>
    </row>
    <row r="28">
      <c r="A28" s="27">
        <v>46228.0</v>
      </c>
      <c r="B28" s="28">
        <v>15245.0</v>
      </c>
      <c r="C28" s="28">
        <v>24575.0</v>
      </c>
      <c r="D28" s="28">
        <f>250+270+300</f>
        <v>820</v>
      </c>
      <c r="E28" s="28" t="s">
        <v>151</v>
      </c>
      <c r="F28" s="28">
        <v>0.0</v>
      </c>
      <c r="G28" s="11" t="s">
        <v>109</v>
      </c>
      <c r="H28" s="11">
        <v>0.0</v>
      </c>
      <c r="I28" s="11" t="s">
        <v>109</v>
      </c>
      <c r="J28" s="28">
        <v>34439.0</v>
      </c>
      <c r="K28" s="28">
        <v>7160.0</v>
      </c>
      <c r="L28" s="11">
        <f t="shared" si="1"/>
        <v>37800</v>
      </c>
      <c r="M28" s="29">
        <f t="shared" si="3"/>
        <v>39820</v>
      </c>
      <c r="N28" s="28">
        <v>1200.0</v>
      </c>
      <c r="O28" s="28"/>
      <c r="P28" s="28"/>
      <c r="Q28" s="28"/>
    </row>
    <row r="29">
      <c r="A29" s="27">
        <v>46229.0</v>
      </c>
      <c r="B29" s="28">
        <v>21242.0</v>
      </c>
      <c r="C29" s="28">
        <v>15930.0</v>
      </c>
      <c r="D29" s="28">
        <f>600+50+250</f>
        <v>900</v>
      </c>
      <c r="E29" s="28" t="s">
        <v>152</v>
      </c>
      <c r="F29" s="28">
        <v>0.0</v>
      </c>
      <c r="G29" s="11" t="s">
        <v>109</v>
      </c>
      <c r="H29" s="11">
        <v>0.0</v>
      </c>
      <c r="I29" s="11" t="s">
        <v>109</v>
      </c>
      <c r="J29" s="28">
        <v>33952.0</v>
      </c>
      <c r="K29" s="28">
        <v>5370.0</v>
      </c>
      <c r="L29" s="11">
        <f t="shared" si="1"/>
        <v>34842</v>
      </c>
      <c r="M29" s="29">
        <f t="shared" si="3"/>
        <v>37172</v>
      </c>
      <c r="N29" s="28">
        <f>1200+230</f>
        <v>1430</v>
      </c>
      <c r="O29" s="30"/>
      <c r="P29" s="30"/>
      <c r="Q29" s="29"/>
    </row>
    <row r="30">
      <c r="A30" s="27">
        <v>46230.0</v>
      </c>
      <c r="B30" s="28">
        <v>21593.0</v>
      </c>
      <c r="C30" s="28">
        <v>19590.0</v>
      </c>
      <c r="D30" s="28">
        <f>990+350+1000</f>
        <v>2340</v>
      </c>
      <c r="E30" s="28" t="s">
        <v>153</v>
      </c>
      <c r="F30" s="28">
        <v>0.0</v>
      </c>
      <c r="G30" s="11" t="s">
        <v>109</v>
      </c>
      <c r="H30" s="11">
        <v>0.0</v>
      </c>
      <c r="I30" s="11" t="s">
        <v>109</v>
      </c>
      <c r="J30" s="28">
        <v>37073.0</v>
      </c>
      <c r="K30" s="28">
        <v>5970.0</v>
      </c>
      <c r="L30" s="11">
        <f t="shared" si="1"/>
        <v>34943</v>
      </c>
      <c r="M30" s="29">
        <f t="shared" si="3"/>
        <v>41183</v>
      </c>
      <c r="N30" s="28">
        <f>1200+2700</f>
        <v>3900</v>
      </c>
      <c r="O30" s="30"/>
      <c r="P30" s="29"/>
      <c r="Q30" s="29"/>
    </row>
    <row r="31">
      <c r="A31" s="27">
        <v>46231.0</v>
      </c>
      <c r="B31" s="28">
        <v>16126.0</v>
      </c>
      <c r="C31" s="28">
        <v>16108.0</v>
      </c>
      <c r="D31" s="28">
        <f>130+1120</f>
        <v>1250</v>
      </c>
      <c r="E31" s="28" t="s">
        <v>154</v>
      </c>
      <c r="F31" s="28">
        <v>0.0</v>
      </c>
      <c r="G31" s="11" t="s">
        <v>109</v>
      </c>
      <c r="H31" s="11">
        <v>0.0</v>
      </c>
      <c r="I31" s="11" t="s">
        <v>109</v>
      </c>
      <c r="J31" s="28">
        <v>29298.0</v>
      </c>
      <c r="K31" s="28">
        <v>4160.0</v>
      </c>
      <c r="L31" s="11">
        <f t="shared" si="1"/>
        <v>29784</v>
      </c>
      <c r="M31" s="29">
        <f t="shared" si="3"/>
        <v>32234</v>
      </c>
      <c r="N31" s="28">
        <v>1200.0</v>
      </c>
      <c r="O31" s="28"/>
      <c r="P31" s="28"/>
      <c r="Q31" s="28"/>
    </row>
    <row r="32">
      <c r="A32" s="27">
        <v>46232.0</v>
      </c>
      <c r="B32" s="28">
        <v>22399.0</v>
      </c>
      <c r="C32" s="28">
        <v>18649.0</v>
      </c>
      <c r="D32" s="28">
        <v>2000.0</v>
      </c>
      <c r="E32" s="28" t="s">
        <v>108</v>
      </c>
      <c r="F32" s="28">
        <v>250.0</v>
      </c>
      <c r="G32" s="11" t="s">
        <v>155</v>
      </c>
      <c r="H32" s="11">
        <v>950.0</v>
      </c>
      <c r="I32" s="11" t="s">
        <v>110</v>
      </c>
      <c r="J32" s="28">
        <v>37916.0</v>
      </c>
      <c r="K32" s="28">
        <v>4320.0</v>
      </c>
      <c r="L32" s="11">
        <f t="shared" si="1"/>
        <v>37298</v>
      </c>
      <c r="M32" s="29">
        <f t="shared" si="3"/>
        <v>41048</v>
      </c>
      <c r="N32" s="28">
        <v>1050.0</v>
      </c>
      <c r="O32" s="30"/>
      <c r="P32" s="28"/>
      <c r="Q32" s="28"/>
    </row>
    <row r="33">
      <c r="A33" s="27">
        <v>46233.0</v>
      </c>
      <c r="B33" s="28"/>
      <c r="C33" s="28"/>
      <c r="D33" s="28"/>
      <c r="E33" s="28"/>
      <c r="F33" s="28"/>
      <c r="G33" s="13"/>
      <c r="H33" s="13"/>
      <c r="I33" s="13"/>
      <c r="J33" s="28"/>
      <c r="K33" s="28"/>
      <c r="L33" s="11">
        <f t="shared" si="1"/>
        <v>0</v>
      </c>
      <c r="M33" s="29">
        <f t="shared" si="3"/>
        <v>0</v>
      </c>
      <c r="N33" s="28"/>
      <c r="O33" s="30"/>
      <c r="P33" s="30"/>
      <c r="Q33" s="29"/>
    </row>
    <row r="34">
      <c r="A34" s="27">
        <v>46234.0</v>
      </c>
      <c r="B34" s="28"/>
      <c r="C34" s="28"/>
      <c r="D34" s="28"/>
      <c r="E34" s="28"/>
      <c r="F34" s="28"/>
      <c r="G34" s="13"/>
      <c r="H34" s="13"/>
      <c r="I34" s="13"/>
      <c r="J34" s="28"/>
      <c r="K34" s="28"/>
      <c r="L34" s="11">
        <f t="shared" si="1"/>
        <v>0</v>
      </c>
      <c r="M34" s="29">
        <f t="shared" si="3"/>
        <v>0</v>
      </c>
      <c r="N34" s="28"/>
      <c r="O34" s="29"/>
      <c r="P34" s="29"/>
      <c r="Q34" s="29"/>
    </row>
    <row r="35">
      <c r="A35" s="30"/>
      <c r="B35" s="29">
        <f t="shared" ref="B35:D35" si="4">SUM(B4:B34)</f>
        <v>537583</v>
      </c>
      <c r="C35" s="29">
        <f t="shared" si="4"/>
        <v>540520</v>
      </c>
      <c r="D35" s="29">
        <f t="shared" si="4"/>
        <v>33380</v>
      </c>
      <c r="E35" s="29"/>
      <c r="F35" s="29">
        <f>SUM(F4:F34)</f>
        <v>4670</v>
      </c>
      <c r="G35" s="13"/>
      <c r="H35" s="13">
        <f>SUM(H4:H34)</f>
        <v>18414</v>
      </c>
      <c r="I35" s="13"/>
      <c r="J35" s="29">
        <f t="shared" ref="J35:Q35" si="5">SUM(J4:J34)</f>
        <v>873462</v>
      </c>
      <c r="K35" s="29">
        <f t="shared" si="5"/>
        <v>166685</v>
      </c>
      <c r="L35" s="29">
        <f t="shared" si="5"/>
        <v>989127</v>
      </c>
      <c r="M35" s="29">
        <f t="shared" si="5"/>
        <v>1078103</v>
      </c>
      <c r="N35" s="29">
        <f t="shared" si="5"/>
        <v>41852</v>
      </c>
      <c r="O35" s="29">
        <f t="shared" si="5"/>
        <v>27800</v>
      </c>
      <c r="P35" s="29">
        <f t="shared" si="5"/>
        <v>0</v>
      </c>
      <c r="Q35" s="29">
        <f t="shared" si="5"/>
        <v>103661</v>
      </c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2">
        <f>O35+Q35</f>
        <v>131461</v>
      </c>
      <c r="Q36" s="31"/>
    </row>
    <row r="38">
      <c r="L38" s="15">
        <f>M35-L35</f>
        <v>88976</v>
      </c>
    </row>
    <row r="40">
      <c r="A40" s="43" t="s">
        <v>156</v>
      </c>
      <c r="B40" s="44">
        <f>D35-F35</f>
        <v>28710</v>
      </c>
    </row>
    <row r="41">
      <c r="A41" s="43" t="s">
        <v>157</v>
      </c>
      <c r="B41" s="45">
        <f>SUM(B4:B34)</f>
        <v>537583</v>
      </c>
    </row>
    <row r="42">
      <c r="A42" s="43" t="s">
        <v>158</v>
      </c>
      <c r="B42" s="45">
        <f>SUM(C4:C34)</f>
        <v>540520</v>
      </c>
      <c r="E42" s="15">
        <f>((B35+C35)-H35-N35-B40-Q35-O35)+F35</f>
        <v>862336</v>
      </c>
      <c r="G42" s="23"/>
    </row>
    <row r="43">
      <c r="A43" s="43" t="s">
        <v>159</v>
      </c>
      <c r="B43" s="45">
        <f>N35+O35+Q35</f>
        <v>173313</v>
      </c>
    </row>
    <row r="44">
      <c r="A44" s="43" t="s">
        <v>160</v>
      </c>
      <c r="B44" s="45">
        <f>SUM(J4:J34)</f>
        <v>873462</v>
      </c>
      <c r="D44" s="23"/>
    </row>
    <row r="45">
      <c r="A45" s="43" t="s">
        <v>161</v>
      </c>
      <c r="B45" s="45">
        <f>SUM(K4:K34)</f>
        <v>166685</v>
      </c>
    </row>
    <row r="46">
      <c r="A46" s="43" t="s">
        <v>162</v>
      </c>
      <c r="B46" s="45">
        <f>B44+B45</f>
        <v>1040147</v>
      </c>
    </row>
    <row r="47">
      <c r="A47" s="43" t="s">
        <v>103</v>
      </c>
      <c r="B47" s="45">
        <f>M35-L35</f>
        <v>88976</v>
      </c>
    </row>
    <row r="48">
      <c r="A48" s="43" t="s">
        <v>163</v>
      </c>
      <c r="B48" s="45">
        <f>SUM(L4:L34)</f>
        <v>989127</v>
      </c>
    </row>
    <row r="49">
      <c r="E49" s="15">
        <f>B52-E42</f>
        <v>-113188</v>
      </c>
    </row>
    <row r="52">
      <c r="B52" s="15">
        <f>B46-B47-B43-B40</f>
        <v>749148</v>
      </c>
    </row>
    <row r="55">
      <c r="A55" s="21" t="s">
        <v>164</v>
      </c>
      <c r="B55" s="21">
        <v>52500.0</v>
      </c>
    </row>
    <row r="56">
      <c r="A56" s="21" t="s">
        <v>165</v>
      </c>
      <c r="B56" s="21">
        <v>10600.0</v>
      </c>
    </row>
    <row r="57">
      <c r="A57" s="21" t="s">
        <v>166</v>
      </c>
      <c r="B57" s="21">
        <v>102350.0</v>
      </c>
    </row>
    <row r="58">
      <c r="A58" s="21" t="s">
        <v>164</v>
      </c>
      <c r="B58" s="21">
        <v>36500.0</v>
      </c>
    </row>
    <row r="59">
      <c r="A59" s="21" t="s">
        <v>167</v>
      </c>
      <c r="B59" s="21">
        <v>11700.0</v>
      </c>
    </row>
    <row r="60">
      <c r="A60" s="21" t="s">
        <v>168</v>
      </c>
      <c r="B60" s="21">
        <v>4500.0</v>
      </c>
    </row>
    <row r="61">
      <c r="A61" s="21" t="s">
        <v>169</v>
      </c>
      <c r="B61" s="21">
        <v>1800.0</v>
      </c>
    </row>
    <row r="62">
      <c r="A62" s="21" t="s">
        <v>170</v>
      </c>
      <c r="B62" s="21">
        <v>3000.0</v>
      </c>
    </row>
    <row r="63">
      <c r="A63" s="21" t="s">
        <v>55</v>
      </c>
      <c r="B63" s="21">
        <v>12374.0</v>
      </c>
    </row>
    <row r="64">
      <c r="A64" s="21" t="s">
        <v>171</v>
      </c>
      <c r="B64" s="21">
        <v>7900.0</v>
      </c>
    </row>
    <row r="65">
      <c r="A65" s="21" t="s">
        <v>172</v>
      </c>
      <c r="B65" s="21">
        <v>13700.0</v>
      </c>
    </row>
    <row r="66">
      <c r="A66" s="21" t="s">
        <v>173</v>
      </c>
      <c r="B66" s="21">
        <v>28500.0</v>
      </c>
    </row>
    <row r="67">
      <c r="A67" s="21" t="s">
        <v>174</v>
      </c>
      <c r="B67" s="21">
        <v>10000.0</v>
      </c>
    </row>
    <row r="68">
      <c r="A68" s="21" t="s">
        <v>175</v>
      </c>
      <c r="B68" s="21">
        <v>29500.0</v>
      </c>
    </row>
    <row r="69">
      <c r="A69" s="21" t="s">
        <v>176</v>
      </c>
      <c r="B69" s="21">
        <v>3210.0</v>
      </c>
    </row>
    <row r="70">
      <c r="A70" s="21" t="s">
        <v>177</v>
      </c>
      <c r="B70" s="21">
        <v>10000.0</v>
      </c>
    </row>
    <row r="71">
      <c r="A71" s="21" t="s">
        <v>178</v>
      </c>
      <c r="B71" s="21">
        <v>13600.0</v>
      </c>
    </row>
    <row r="72">
      <c r="A72" s="46"/>
      <c r="B72" s="46">
        <f>SUM(B55:B71)</f>
        <v>351734</v>
      </c>
    </row>
    <row r="73">
      <c r="B73" s="23"/>
    </row>
    <row r="76">
      <c r="B76" s="15">
        <f>B52-B72</f>
        <v>397414</v>
      </c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</row>
  </sheetData>
  <mergeCells count="1">
    <mergeCell ref="A1:Q2"/>
  </mergeCells>
  <drawing r:id="rId1"/>
</worksheet>
</file>